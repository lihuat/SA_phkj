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filterPrivacy="1"/>
  <xr:revisionPtr revIDLastSave="0" documentId="13_ncr:1_{CC8D13FE-F614-4B9B-8DCB-147DB1EDE24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0" hidden="1">Sheet1!$A$1:$S$976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3AF56671-A0AA-4A4A-B5DF-B4AEC741524C}">
      <text>
        <r>
          <rPr>
            <b/>
            <sz val="9"/>
            <color indexed="81"/>
            <rFont val="宋体"/>
            <family val="3"/>
            <charset val="134"/>
          </rPr>
          <t>作者:
筛选出：“通讯”，“服务经理”，“虚拟”，并剔除。</t>
        </r>
      </text>
    </comment>
    <comment ref="S1" authorId="0" shapeId="0" xr:uid="{378044E9-FF75-418A-96B8-D66225702542}">
      <text>
        <r>
          <rPr>
            <b/>
            <sz val="9"/>
            <color indexed="81"/>
            <rFont val="宋体"/>
            <family val="3"/>
            <charset val="134"/>
          </rPr>
          <t>作者:
记得拉公式哟，剔除“产品1至产品7”</t>
        </r>
      </text>
    </comment>
  </commentList>
</comments>
</file>

<file path=xl/sharedStrings.xml><?xml version="1.0" encoding="utf-8"?>
<sst xmlns="http://schemas.openxmlformats.org/spreadsheetml/2006/main" count="14814" uniqueCount="3265">
  <si>
    <t>贷款编号</t>
  </si>
  <si>
    <t>贷款金额</t>
  </si>
  <si>
    <t>产品名称</t>
  </si>
  <si>
    <t>商户</t>
  </si>
  <si>
    <t>门店</t>
  </si>
  <si>
    <t>SA工号</t>
  </si>
  <si>
    <t>SA姓名</t>
  </si>
  <si>
    <t>SA状态</t>
  </si>
  <si>
    <t>区域经理工号</t>
  </si>
  <si>
    <t>区域经理名称</t>
  </si>
  <si>
    <t>区域经理助理工号</t>
  </si>
  <si>
    <t>区域经理助理名称</t>
  </si>
  <si>
    <t>区域名称</t>
  </si>
  <si>
    <t>高区名称</t>
  </si>
  <si>
    <t>城市名称</t>
  </si>
  <si>
    <t>大区名称</t>
  </si>
  <si>
    <t>首次M2</t>
  </si>
  <si>
    <t>首次M3</t>
  </si>
  <si>
    <t>在职</t>
  </si>
  <si>
    <t>优惠产品</t>
  </si>
  <si>
    <t>12170004</t>
  </si>
  <si>
    <t>隆黔钧</t>
  </si>
  <si>
    <t>隆黔钧团队</t>
  </si>
  <si>
    <t>预留团队2</t>
  </si>
  <si>
    <t>贵州大区</t>
  </si>
  <si>
    <t>西区团队</t>
  </si>
  <si>
    <t>一般产品</t>
  </si>
  <si>
    <t>阿瓦提县福马手机通讯卖场2分店</t>
  </si>
  <si>
    <t>离职</t>
  </si>
  <si>
    <t>03040035</t>
  </si>
  <si>
    <t>程登辉</t>
  </si>
  <si>
    <t>程登辉团队</t>
  </si>
  <si>
    <t>田学文团队</t>
  </si>
  <si>
    <t>新疆大区</t>
  </si>
  <si>
    <t>北区团队</t>
  </si>
  <si>
    <t>25260035</t>
  </si>
  <si>
    <t>杨长林</t>
  </si>
  <si>
    <t>杨长林团队</t>
  </si>
  <si>
    <t>预留团队10</t>
  </si>
  <si>
    <t>云南大区</t>
  </si>
  <si>
    <t>02030001</t>
  </si>
  <si>
    <t>柏超</t>
  </si>
  <si>
    <t>柏超团队</t>
  </si>
  <si>
    <t>周鹏团队</t>
  </si>
  <si>
    <t>范光文团队</t>
  </si>
  <si>
    <t>预留团队</t>
  </si>
  <si>
    <t>预留团队5</t>
  </si>
  <si>
    <t>陈香团队</t>
  </si>
  <si>
    <t>西藏大区</t>
  </si>
  <si>
    <t>直管团队</t>
  </si>
  <si>
    <t>南昌高新技术产业开发区宇恒联合数码产品店</t>
  </si>
  <si>
    <t>张德军团队</t>
  </si>
  <si>
    <t>23200002</t>
  </si>
  <si>
    <t>王滔</t>
  </si>
  <si>
    <t>王滔团队</t>
  </si>
  <si>
    <t>邹垚睿团队</t>
  </si>
  <si>
    <t>26250388</t>
  </si>
  <si>
    <t>周燕</t>
  </si>
  <si>
    <t>周燕团队</t>
  </si>
  <si>
    <t>预留团队3</t>
  </si>
  <si>
    <t>预留团队1</t>
  </si>
  <si>
    <t>预留团队4</t>
  </si>
  <si>
    <t>预留团队7</t>
  </si>
  <si>
    <t>内蒙古大区</t>
  </si>
  <si>
    <t>河南大区</t>
  </si>
  <si>
    <t>23240210</t>
  </si>
  <si>
    <t>王兴杰</t>
  </si>
  <si>
    <t>王兴杰团队</t>
  </si>
  <si>
    <t>高骅团队</t>
  </si>
  <si>
    <t>23260141</t>
  </si>
  <si>
    <t>王志伟</t>
  </si>
  <si>
    <t>王志伟团队</t>
  </si>
  <si>
    <t>甘肃大区</t>
  </si>
  <si>
    <t>王超团队</t>
  </si>
  <si>
    <t>23250401</t>
  </si>
  <si>
    <t>王永辉</t>
  </si>
  <si>
    <t>13040003</t>
  </si>
  <si>
    <t>蒙丹</t>
  </si>
  <si>
    <t>蒙丹团队</t>
  </si>
  <si>
    <t>04110010</t>
  </si>
  <si>
    <t>预留（杜开）</t>
  </si>
  <si>
    <t>26250421</t>
  </si>
  <si>
    <t>26240167</t>
  </si>
  <si>
    <t>张新明</t>
  </si>
  <si>
    <t>张新明团队</t>
  </si>
  <si>
    <t>刘香杰团队</t>
  </si>
  <si>
    <t>23100248</t>
  </si>
  <si>
    <t>伍佳</t>
  </si>
  <si>
    <t>23120162</t>
  </si>
  <si>
    <t>吴磊</t>
  </si>
  <si>
    <t>南区团队</t>
  </si>
  <si>
    <t>26080146</t>
  </si>
  <si>
    <t>朱海龙</t>
  </si>
  <si>
    <t>朱海龙团队</t>
  </si>
  <si>
    <t>寇春晖团队</t>
  </si>
  <si>
    <t>海南大区</t>
  </si>
  <si>
    <t>阿克陶县荣花电动车专卖店</t>
  </si>
  <si>
    <t>25110045</t>
  </si>
  <si>
    <t>姚昆</t>
  </si>
  <si>
    <t>姚昆团队</t>
  </si>
  <si>
    <t>26100136</t>
  </si>
  <si>
    <t>朱军伟</t>
  </si>
  <si>
    <t>朱军伟团队</t>
  </si>
  <si>
    <t>26080137</t>
  </si>
  <si>
    <t>张浩</t>
  </si>
  <si>
    <t>张浩团队</t>
  </si>
  <si>
    <t>25080142</t>
  </si>
  <si>
    <t>23260175</t>
  </si>
  <si>
    <t>预留(何天浩）</t>
  </si>
  <si>
    <t>19130041</t>
  </si>
  <si>
    <t>宋明虎</t>
  </si>
  <si>
    <t>02240005</t>
  </si>
  <si>
    <t>鲍星</t>
  </si>
  <si>
    <t>鲍星团队</t>
  </si>
  <si>
    <t>吴锐团队</t>
  </si>
  <si>
    <t>12120291</t>
  </si>
  <si>
    <t>预留（吕龙）</t>
  </si>
  <si>
    <t>黑龙江大区</t>
  </si>
  <si>
    <t>26100202</t>
  </si>
  <si>
    <t>张俊杰</t>
  </si>
  <si>
    <t>张俊杰团队</t>
  </si>
  <si>
    <t>13180006</t>
  </si>
  <si>
    <t>莫锐</t>
  </si>
  <si>
    <t>莫锐团队</t>
  </si>
  <si>
    <t>预留团队6</t>
  </si>
  <si>
    <t>23130064</t>
  </si>
  <si>
    <t>魏明刚</t>
  </si>
  <si>
    <t>魏明刚团队</t>
  </si>
  <si>
    <t>一折贷</t>
  </si>
  <si>
    <t>陕西大区</t>
  </si>
  <si>
    <t>03080066</t>
  </si>
  <si>
    <t>陈辉</t>
  </si>
  <si>
    <t>陈辉团队</t>
  </si>
  <si>
    <t>25020038</t>
  </si>
  <si>
    <t>易斌</t>
  </si>
  <si>
    <t>易斌团队</t>
  </si>
  <si>
    <t>方东迅团队</t>
  </si>
  <si>
    <t>12030170</t>
  </si>
  <si>
    <t>李成宽</t>
  </si>
  <si>
    <t>03260052</t>
  </si>
  <si>
    <t>陈招文</t>
  </si>
  <si>
    <t>陈招文团队</t>
  </si>
  <si>
    <t>阿克苏市哈拉塔勒镇12大队移动指定专营店</t>
  </si>
  <si>
    <t>23170097</t>
  </si>
  <si>
    <t>王琦</t>
  </si>
  <si>
    <t>王琦团队</t>
  </si>
  <si>
    <t>肖强团队</t>
  </si>
  <si>
    <t>03080036</t>
  </si>
  <si>
    <t>曾辉</t>
  </si>
  <si>
    <t>曾辉团队</t>
  </si>
  <si>
    <t>健康路店</t>
  </si>
  <si>
    <t>12250053</t>
  </si>
  <si>
    <t>林雅琼</t>
  </si>
  <si>
    <t>林雅琼团队</t>
  </si>
  <si>
    <t>19180030</t>
  </si>
  <si>
    <t>孙瑞瑞</t>
  </si>
  <si>
    <t>08080043</t>
  </si>
  <si>
    <t>何好</t>
  </si>
  <si>
    <t>何好团队</t>
  </si>
  <si>
    <t>12190182</t>
  </si>
  <si>
    <t>李仕兴</t>
  </si>
  <si>
    <t>李仕兴团队</t>
  </si>
  <si>
    <t>柯柯牙捷达通讯世纪商厦二楼店</t>
  </si>
  <si>
    <t>18250023</t>
  </si>
  <si>
    <t>13230011</t>
  </si>
  <si>
    <t>买吾拉尼·吐尔逊</t>
  </si>
  <si>
    <t>买吾拉尼·吐尔逊团队</t>
  </si>
  <si>
    <t>08260079</t>
  </si>
  <si>
    <t>胡忠旺</t>
  </si>
  <si>
    <t>23260067</t>
  </si>
  <si>
    <t>魏长生</t>
  </si>
  <si>
    <t>魏长生团队</t>
  </si>
  <si>
    <t>23080058</t>
  </si>
  <si>
    <t>王会</t>
  </si>
  <si>
    <t>25040006</t>
  </si>
  <si>
    <t>犹敦信</t>
  </si>
  <si>
    <t>犹敦信团队</t>
  </si>
  <si>
    <t>12080333</t>
  </si>
  <si>
    <t>龙海波</t>
  </si>
  <si>
    <t>26120142</t>
  </si>
  <si>
    <t>周列辉</t>
  </si>
  <si>
    <t>周列辉团队</t>
  </si>
  <si>
    <t>26250307</t>
  </si>
  <si>
    <t>张元兵</t>
  </si>
  <si>
    <t>张元兵团队</t>
  </si>
  <si>
    <t>预留团队8</t>
  </si>
  <si>
    <t>23170073</t>
  </si>
  <si>
    <t>王群斯</t>
  </si>
  <si>
    <t>王群斯团队</t>
  </si>
  <si>
    <t>12130110</t>
  </si>
  <si>
    <t>罗茂松</t>
  </si>
  <si>
    <t>26240029</t>
  </si>
  <si>
    <t>邹幸朋</t>
  </si>
  <si>
    <t>邹幸朋团队</t>
  </si>
  <si>
    <t>孙雷团队</t>
  </si>
  <si>
    <t>12250413</t>
  </si>
  <si>
    <t>林应帅</t>
  </si>
  <si>
    <t>林应帅团队</t>
  </si>
  <si>
    <t>13060006</t>
  </si>
  <si>
    <t>马飞</t>
  </si>
  <si>
    <t>12260270</t>
  </si>
  <si>
    <t>李宗燕</t>
  </si>
  <si>
    <t>23240264</t>
  </si>
  <si>
    <t>王兴红</t>
  </si>
  <si>
    <t>23080028</t>
  </si>
  <si>
    <t>王华</t>
  </si>
  <si>
    <t>王华团队</t>
  </si>
  <si>
    <t>04250079</t>
  </si>
  <si>
    <t>党燕平</t>
  </si>
  <si>
    <t>党燕平团队</t>
  </si>
  <si>
    <t>阿克苏市讯达通讯</t>
  </si>
  <si>
    <t>17250016</t>
  </si>
  <si>
    <t>钱宇</t>
  </si>
  <si>
    <t>钱宇团队</t>
  </si>
  <si>
    <t>26160080</t>
  </si>
  <si>
    <t>张培培</t>
  </si>
  <si>
    <t>23060007</t>
  </si>
  <si>
    <t>王福海</t>
  </si>
  <si>
    <t>王福海团队</t>
  </si>
  <si>
    <t>26160095</t>
  </si>
  <si>
    <t>周平</t>
  </si>
  <si>
    <t>04240047</t>
  </si>
  <si>
    <t>邓雪飞</t>
  </si>
  <si>
    <t>邓雪飞团队</t>
  </si>
  <si>
    <t>07190038</t>
  </si>
  <si>
    <t>甘善泽</t>
  </si>
  <si>
    <t>甘善泽团队</t>
  </si>
  <si>
    <t>03240018</t>
  </si>
  <si>
    <t>陈璇</t>
  </si>
  <si>
    <t>陈璇团队</t>
  </si>
  <si>
    <t>13180009</t>
  </si>
  <si>
    <t>预留（马锐）</t>
  </si>
  <si>
    <t>03030001</t>
  </si>
  <si>
    <t>陈朝勇</t>
  </si>
  <si>
    <t>陈朝勇团队</t>
  </si>
  <si>
    <t>02110007</t>
  </si>
  <si>
    <t>预留（别克木尔扎·扎依尔）</t>
  </si>
  <si>
    <t>13230007</t>
  </si>
  <si>
    <t>马文涛</t>
  </si>
  <si>
    <t>马文涛团队</t>
  </si>
  <si>
    <t>26200054</t>
  </si>
  <si>
    <t>张涛</t>
  </si>
  <si>
    <t>03120052</t>
  </si>
  <si>
    <t>曹路</t>
  </si>
  <si>
    <t>曹路团队</t>
  </si>
  <si>
    <t>花溪-谢国通讯</t>
  </si>
  <si>
    <t>12240053</t>
  </si>
  <si>
    <t>龙显溶</t>
  </si>
  <si>
    <t>12240324</t>
  </si>
  <si>
    <t>吕鑫</t>
  </si>
  <si>
    <t>02170003</t>
  </si>
  <si>
    <t>柏黔岽</t>
  </si>
  <si>
    <t>柏黔岽团队</t>
  </si>
  <si>
    <t>25180011</t>
  </si>
  <si>
    <t>杨荣</t>
  </si>
  <si>
    <t>13120052</t>
  </si>
  <si>
    <t>马丽娜</t>
  </si>
  <si>
    <t>马丽娜团队</t>
  </si>
  <si>
    <t>24130039</t>
  </si>
  <si>
    <t>谢木西努尔·亚森</t>
  </si>
  <si>
    <t>19040037</t>
  </si>
  <si>
    <t>盛玬玛</t>
  </si>
  <si>
    <t>盛玬玛团队</t>
  </si>
  <si>
    <t>华夏通讯周长生</t>
  </si>
  <si>
    <t>10040016</t>
  </si>
  <si>
    <t>江大春</t>
  </si>
  <si>
    <t>04070012</t>
  </si>
  <si>
    <t>邓果</t>
  </si>
  <si>
    <t>邓果团队</t>
  </si>
  <si>
    <t>23250234</t>
  </si>
  <si>
    <t>王燕群</t>
  </si>
  <si>
    <t>王燕群团队</t>
  </si>
  <si>
    <t>13130048</t>
  </si>
  <si>
    <t>马明祥</t>
  </si>
  <si>
    <t>19020017</t>
  </si>
  <si>
    <t>预留（宋斌）</t>
  </si>
  <si>
    <t>时代广场圣旗店</t>
  </si>
  <si>
    <t>03100091</t>
  </si>
  <si>
    <t>程俊铭</t>
  </si>
  <si>
    <t>程俊铭团队</t>
  </si>
  <si>
    <t>奇台县国米通讯店</t>
  </si>
  <si>
    <t>08100085</t>
  </si>
  <si>
    <t>胡佳冰</t>
  </si>
  <si>
    <t>胡佳冰团队</t>
  </si>
  <si>
    <t>01070001</t>
  </si>
  <si>
    <t>奥格莱姆·萨塔尔</t>
  </si>
  <si>
    <t>13190025</t>
  </si>
  <si>
    <t>毛诗浩</t>
  </si>
  <si>
    <t>毛诗浩团队</t>
  </si>
  <si>
    <t>07120085</t>
  </si>
  <si>
    <t>古丽巴哈尔·阿不来提</t>
  </si>
  <si>
    <t>24080048</t>
  </si>
  <si>
    <t>肖慧</t>
  </si>
  <si>
    <t>17130019</t>
  </si>
  <si>
    <t>取曼·二根</t>
  </si>
  <si>
    <t>26030047</t>
  </si>
  <si>
    <t>周承军</t>
  </si>
  <si>
    <t>周承军团队</t>
  </si>
  <si>
    <t>25260041</t>
  </si>
  <si>
    <t>杨智强</t>
  </si>
  <si>
    <t>杨智强团队</t>
  </si>
  <si>
    <t>26170011</t>
  </si>
  <si>
    <t>张强</t>
  </si>
  <si>
    <t>张强团队</t>
  </si>
  <si>
    <t>12130020</t>
  </si>
  <si>
    <t>刘明杰</t>
  </si>
  <si>
    <t>刘明杰团队</t>
  </si>
  <si>
    <t>23230071</t>
  </si>
  <si>
    <t>王婉莉</t>
  </si>
  <si>
    <t>王婉莉团队</t>
  </si>
  <si>
    <t>和田市金鹏通讯店</t>
  </si>
  <si>
    <t>25190009</t>
  </si>
  <si>
    <t>余松绩</t>
  </si>
  <si>
    <t>余松绩团队</t>
  </si>
  <si>
    <t>04130034</t>
  </si>
  <si>
    <t>代毛毛</t>
  </si>
  <si>
    <t>个体户查江宏</t>
  </si>
  <si>
    <t>25100186</t>
  </si>
  <si>
    <t>尤佳</t>
  </si>
  <si>
    <t>03120164</t>
  </si>
  <si>
    <t>崔龙</t>
  </si>
  <si>
    <t>喀什海兴通讯店</t>
  </si>
  <si>
    <t>10170020</t>
  </si>
  <si>
    <t>靳青青</t>
  </si>
  <si>
    <t>和田市顺财手机体验店</t>
  </si>
  <si>
    <t>12250309</t>
  </si>
  <si>
    <t>李扬洋</t>
  </si>
  <si>
    <t>10060011</t>
  </si>
  <si>
    <t>姜芳举</t>
  </si>
  <si>
    <t>16230009</t>
  </si>
  <si>
    <t>彭维</t>
  </si>
  <si>
    <t>23110057</t>
  </si>
  <si>
    <t>温康军</t>
  </si>
  <si>
    <t>23100076</t>
  </si>
  <si>
    <t>吴剑</t>
  </si>
  <si>
    <t>26250383</t>
  </si>
  <si>
    <t>张艳龙</t>
  </si>
  <si>
    <t>温宿县综合农贸市场好运通讯店</t>
  </si>
  <si>
    <t>23260163</t>
  </si>
  <si>
    <t>王转</t>
  </si>
  <si>
    <t>26010001</t>
  </si>
  <si>
    <t>周安江</t>
  </si>
  <si>
    <t>周安江团队</t>
  </si>
  <si>
    <t>23100018</t>
  </si>
  <si>
    <t>伍晶</t>
  </si>
  <si>
    <t>伍晶团队</t>
  </si>
  <si>
    <t>个体户张久林</t>
  </si>
  <si>
    <t>12190064</t>
  </si>
  <si>
    <t>预留（兰世虎）</t>
  </si>
  <si>
    <t>03080102</t>
  </si>
  <si>
    <t>常海罗</t>
  </si>
  <si>
    <t>26250381</t>
  </si>
  <si>
    <t>遭永成</t>
  </si>
  <si>
    <t>遭永成团队</t>
  </si>
  <si>
    <t>乌鲁木齐潮客电子商务有限公司-艾力狮尔腾讯广场买买提通讯器材店</t>
  </si>
  <si>
    <t>长顺县亿佳通讯连锁店</t>
  </si>
  <si>
    <t>23190167</t>
  </si>
  <si>
    <t>伍松</t>
  </si>
  <si>
    <t>西昌路599号</t>
  </si>
  <si>
    <t>01050007</t>
  </si>
  <si>
    <t>阿尔达克·叶尔波力</t>
  </si>
  <si>
    <t>19030056</t>
  </si>
  <si>
    <t>锁超</t>
  </si>
  <si>
    <t>24250113</t>
  </si>
  <si>
    <t>肖英杰</t>
  </si>
  <si>
    <t>阿克陶红景通讯</t>
  </si>
  <si>
    <t>19240061</t>
  </si>
  <si>
    <t>盛学良</t>
  </si>
  <si>
    <t>盛学良团队</t>
  </si>
  <si>
    <t>12160065</t>
  </si>
  <si>
    <t>李攀</t>
  </si>
  <si>
    <t>李攀团队</t>
  </si>
  <si>
    <t>12260115</t>
  </si>
  <si>
    <t>李志军</t>
  </si>
  <si>
    <t>红兴通讯</t>
  </si>
  <si>
    <t>06230014</t>
  </si>
  <si>
    <t>冯文财</t>
  </si>
  <si>
    <t>冯文财团队</t>
  </si>
  <si>
    <t>临河区伟国手机经销河港店</t>
  </si>
  <si>
    <t>12070026</t>
  </si>
  <si>
    <t>李刚刚</t>
  </si>
  <si>
    <t>李刚刚团队</t>
  </si>
  <si>
    <t>13200030</t>
  </si>
  <si>
    <t>米涛</t>
  </si>
  <si>
    <t>12040107</t>
  </si>
  <si>
    <t>李东东</t>
  </si>
  <si>
    <t>03130010</t>
  </si>
  <si>
    <t>陈明军</t>
  </si>
  <si>
    <t>12030071</t>
  </si>
  <si>
    <t>李成龙</t>
  </si>
  <si>
    <t>李成龙团队</t>
  </si>
  <si>
    <t>12130216</t>
  </si>
  <si>
    <t>罗茂文</t>
  </si>
  <si>
    <t>大润发电动车陆平店</t>
  </si>
  <si>
    <t>龙里县个体户谭强</t>
  </si>
  <si>
    <t>13020019</t>
  </si>
  <si>
    <t>穆斌</t>
  </si>
  <si>
    <t>25120160</t>
  </si>
  <si>
    <t>姚流林</t>
  </si>
  <si>
    <t>04260008</t>
  </si>
  <si>
    <t>段正雪</t>
  </si>
  <si>
    <t>23250352</t>
  </si>
  <si>
    <t>武亚文</t>
  </si>
  <si>
    <t>武亚文团队</t>
  </si>
  <si>
    <t>17100016</t>
  </si>
  <si>
    <t>卿继蓬</t>
  </si>
  <si>
    <t>卿继蓬团队</t>
  </si>
  <si>
    <t>阿图什市若情品牌手机销售店</t>
  </si>
  <si>
    <t>23160051</t>
  </si>
  <si>
    <t>伽师县布拉克手机卖场</t>
  </si>
  <si>
    <t>喀什市解放南路福隆电子通讯店</t>
  </si>
  <si>
    <t>12190264</t>
  </si>
  <si>
    <t>陆胜金</t>
  </si>
  <si>
    <t>莎车县广信通手机配件店</t>
  </si>
  <si>
    <t>04080038</t>
  </si>
  <si>
    <t>预留（杜海）</t>
  </si>
  <si>
    <t>喀什市天地电动车超市</t>
  </si>
  <si>
    <t>12250488</t>
  </si>
  <si>
    <t>雷云龙</t>
  </si>
  <si>
    <t>02130010</t>
  </si>
  <si>
    <t>布麦热木·衣明</t>
  </si>
  <si>
    <t>25110024</t>
  </si>
  <si>
    <t>杨凯</t>
  </si>
  <si>
    <t>杨凯团队</t>
  </si>
  <si>
    <t>24250266</t>
  </si>
  <si>
    <t>徐岩</t>
  </si>
  <si>
    <t>26120279</t>
  </si>
  <si>
    <t>10120026</t>
  </si>
  <si>
    <t>姜龙飞</t>
  </si>
  <si>
    <t>26060058</t>
  </si>
  <si>
    <t>张峰</t>
  </si>
  <si>
    <t>张峰团队</t>
  </si>
  <si>
    <t>隆阳区国讯通讯器材经营部</t>
  </si>
  <si>
    <t>12130171</t>
  </si>
  <si>
    <t>刘明彩</t>
  </si>
  <si>
    <t>16240047</t>
  </si>
  <si>
    <t>潘先健</t>
  </si>
  <si>
    <t>24260027</t>
  </si>
  <si>
    <t>许忠漭</t>
  </si>
  <si>
    <t>许忠漭团队</t>
  </si>
  <si>
    <t>08160032</t>
  </si>
  <si>
    <t>胡苹</t>
  </si>
  <si>
    <t>10260039</t>
  </si>
  <si>
    <t>金子超</t>
  </si>
  <si>
    <t>都匀市个体户何章跃</t>
  </si>
  <si>
    <t>18120006</t>
  </si>
  <si>
    <t>冉龙科</t>
  </si>
  <si>
    <t>冉龙科团队</t>
  </si>
  <si>
    <t>26040028</t>
  </si>
  <si>
    <t>预留（朱达松）</t>
  </si>
  <si>
    <t>25110055</t>
  </si>
  <si>
    <t>伊可鑫</t>
  </si>
  <si>
    <t>13250034</t>
  </si>
  <si>
    <t>马苑婷</t>
  </si>
  <si>
    <t>喀什市大十字联通</t>
  </si>
  <si>
    <t>察布查尔县新华家电经销部</t>
  </si>
  <si>
    <t>07260030</t>
  </si>
  <si>
    <t>郭长进</t>
  </si>
  <si>
    <t>郭长进团队</t>
  </si>
  <si>
    <t>04030024</t>
  </si>
  <si>
    <t>邓彩梅</t>
  </si>
  <si>
    <t>23230104</t>
  </si>
  <si>
    <t>王万成</t>
  </si>
  <si>
    <t>26250110</t>
  </si>
  <si>
    <t>预留（周永刚）</t>
  </si>
  <si>
    <t>12070115</t>
  </si>
  <si>
    <t>刘国伟</t>
  </si>
  <si>
    <t>04160003</t>
  </si>
  <si>
    <t>董攀妮</t>
  </si>
  <si>
    <t>董攀妮团队</t>
  </si>
  <si>
    <t>中国电信艾尼手机卖场</t>
  </si>
  <si>
    <t>12100406</t>
  </si>
  <si>
    <t>预留（林静）</t>
  </si>
  <si>
    <t>13100060</t>
  </si>
  <si>
    <t>马继云</t>
  </si>
  <si>
    <t>马继云团队</t>
  </si>
  <si>
    <t>12240440</t>
  </si>
  <si>
    <t>龙鑫</t>
  </si>
  <si>
    <t>08030093</t>
  </si>
  <si>
    <t>何冲</t>
  </si>
  <si>
    <t>23250450</t>
  </si>
  <si>
    <t>王有琴</t>
  </si>
  <si>
    <t>25190123</t>
  </si>
  <si>
    <t>姚帅</t>
  </si>
  <si>
    <t>25060078</t>
  </si>
  <si>
    <t>袁飞</t>
  </si>
  <si>
    <t>沙雅县志杰手机卖场-宏信通讯</t>
  </si>
  <si>
    <t>13060012</t>
  </si>
  <si>
    <t>莫发军</t>
  </si>
  <si>
    <t>杨洁</t>
  </si>
  <si>
    <t>19160015</t>
  </si>
  <si>
    <t>孙鹏翔</t>
  </si>
  <si>
    <t>孙鹏翔团队</t>
  </si>
  <si>
    <t>23100225</t>
  </si>
  <si>
    <t>汪建丽</t>
  </si>
  <si>
    <t>沙依巴克区西山西街诗菡通讯设备经销部</t>
  </si>
  <si>
    <t>26240285</t>
  </si>
  <si>
    <t>糟小虎</t>
  </si>
  <si>
    <t>12030209</t>
  </si>
  <si>
    <t>李超</t>
  </si>
  <si>
    <t>沙雅县英买力镇阿特兰通讯特约代理店</t>
  </si>
  <si>
    <t>08200039</t>
  </si>
  <si>
    <t>胡团结</t>
  </si>
  <si>
    <t>23070066</t>
  </si>
  <si>
    <t>王光丽</t>
  </si>
  <si>
    <t>26020047</t>
  </si>
  <si>
    <t>周兵</t>
  </si>
  <si>
    <t>周兵团队</t>
  </si>
  <si>
    <t>托克逊县易达电子通信器材经销部</t>
  </si>
  <si>
    <t>13050010</t>
  </si>
  <si>
    <t>米尔扎提江·木合塔尔</t>
  </si>
  <si>
    <t>23130058</t>
  </si>
  <si>
    <t>王明</t>
  </si>
  <si>
    <t>王明团队</t>
  </si>
  <si>
    <t>03120021</t>
  </si>
  <si>
    <t>陈丽萍</t>
  </si>
  <si>
    <t>03250266</t>
  </si>
  <si>
    <t>陈依依</t>
  </si>
  <si>
    <t>16020006</t>
  </si>
  <si>
    <t>彭勃</t>
  </si>
  <si>
    <t>沙依巴克区克拉玛依东路琨骐车行</t>
  </si>
  <si>
    <t>都匀市平桥友缘</t>
  </si>
  <si>
    <t>哈密市君翼通讯有限责任公司-VIVO专卖店</t>
  </si>
  <si>
    <t>天山区艾力狮尔通讯广场卡地尔通讯器材店</t>
  </si>
  <si>
    <t>24060009</t>
  </si>
  <si>
    <t>徐发刚</t>
  </si>
  <si>
    <t>徐发刚团队</t>
  </si>
  <si>
    <t>13240119</t>
  </si>
  <si>
    <t>马鑫</t>
  </si>
  <si>
    <t>乌鲁木齐潮客电子商务有限公司-中山街盛杰通讯苹果王源店</t>
  </si>
  <si>
    <t>24050007</t>
  </si>
  <si>
    <t>西尔艾力·阿布拉</t>
  </si>
  <si>
    <t>03060035</t>
  </si>
  <si>
    <t>陈凤凤</t>
  </si>
  <si>
    <t>羽翔摩托车商店</t>
  </si>
  <si>
    <t>23120219</t>
  </si>
  <si>
    <t>王磊</t>
  </si>
  <si>
    <t>25070035</t>
  </si>
  <si>
    <t>杨国辉</t>
  </si>
  <si>
    <t>莎车县大利市场绿骄电动车销售部</t>
  </si>
  <si>
    <t>19240102</t>
  </si>
  <si>
    <t>盛仙鹤</t>
  </si>
  <si>
    <t>七星关区步步高引商入柜-清毕路移动</t>
  </si>
  <si>
    <t>王超</t>
  </si>
  <si>
    <t>13260049</t>
  </si>
  <si>
    <t>满正伯</t>
  </si>
  <si>
    <t>23100089</t>
  </si>
  <si>
    <t>王军华</t>
  </si>
  <si>
    <t>12250483</t>
  </si>
  <si>
    <t>预留（赖艳）</t>
  </si>
  <si>
    <t>03080115</t>
  </si>
  <si>
    <t>程杭</t>
  </si>
  <si>
    <t>04110014</t>
  </si>
  <si>
    <t>邓康</t>
  </si>
  <si>
    <t>美尚成科技电子产品北京东路店</t>
  </si>
  <si>
    <t>个体户查正香</t>
  </si>
  <si>
    <t>王斌</t>
  </si>
  <si>
    <t>诚信车业</t>
  </si>
  <si>
    <t>天天通讯</t>
  </si>
  <si>
    <t>12250233</t>
  </si>
  <si>
    <t>刘永斌</t>
  </si>
  <si>
    <t>17260037</t>
  </si>
  <si>
    <t>钱祖辉</t>
  </si>
  <si>
    <t>乌鲁木齐潮客电子商务有限公司-中山路万振南VIVO专卖店</t>
  </si>
  <si>
    <t>18260022</t>
  </si>
  <si>
    <t>热孜古丽·艾尼玩</t>
  </si>
  <si>
    <t>奎屯李俊华通讯器材店</t>
  </si>
  <si>
    <t>库尔勒文军小刀电动车销售店</t>
  </si>
  <si>
    <t>26190139</t>
  </si>
  <si>
    <t>周仕荣</t>
  </si>
  <si>
    <t>12080270</t>
  </si>
  <si>
    <t>刘辉</t>
  </si>
  <si>
    <t>03080095</t>
  </si>
  <si>
    <t>陈灏</t>
  </si>
  <si>
    <t>莎车县海星手机卖场</t>
  </si>
  <si>
    <t>优惠产品B</t>
  </si>
  <si>
    <t>19080019</t>
  </si>
  <si>
    <t>沈胡萍</t>
  </si>
  <si>
    <t>23230115</t>
  </si>
  <si>
    <t>王文亮</t>
  </si>
  <si>
    <t>10期贷A</t>
  </si>
  <si>
    <t>12250185</t>
  </si>
  <si>
    <t>李永江</t>
  </si>
  <si>
    <t>11040008</t>
  </si>
  <si>
    <t>卡地尔·图尔</t>
  </si>
  <si>
    <t>07250118</t>
  </si>
  <si>
    <t>高义</t>
  </si>
  <si>
    <t>23240053</t>
  </si>
  <si>
    <t>汪星</t>
  </si>
  <si>
    <t>优惠产品A</t>
  </si>
  <si>
    <t>23040086</t>
  </si>
  <si>
    <t>王东东</t>
  </si>
  <si>
    <t>13240129</t>
  </si>
  <si>
    <t>马小龙</t>
  </si>
  <si>
    <t>和田市至上通信手机卖场-天翼店</t>
  </si>
  <si>
    <t>英吉沙县光兆通讯</t>
  </si>
  <si>
    <t>12170222</t>
  </si>
  <si>
    <t>李秋鸽</t>
  </si>
  <si>
    <t>23110019</t>
  </si>
  <si>
    <t>王琨</t>
  </si>
  <si>
    <t>23170106</t>
  </si>
  <si>
    <t>吴清</t>
  </si>
  <si>
    <t>伽师县阿凡提通信</t>
  </si>
  <si>
    <t>13130051</t>
  </si>
  <si>
    <t>买买提江·拖合提</t>
  </si>
  <si>
    <t>03080096</t>
  </si>
  <si>
    <t>陈红超</t>
  </si>
  <si>
    <t>03230058</t>
  </si>
  <si>
    <t>程维</t>
  </si>
  <si>
    <t>13030047</t>
  </si>
  <si>
    <t>孟昌英</t>
  </si>
  <si>
    <t>24080056</t>
  </si>
  <si>
    <t>04260039</t>
  </si>
  <si>
    <t>但宗余</t>
  </si>
  <si>
    <t>26230168</t>
  </si>
  <si>
    <t>张炜</t>
  </si>
  <si>
    <t>乌鲁木齐潮客电子商务有限公司-米东区百富oppo店</t>
  </si>
  <si>
    <t>25240183</t>
  </si>
  <si>
    <t>杨小国</t>
  </si>
  <si>
    <t>阿勒泰市北屯努尔通讯店</t>
  </si>
  <si>
    <t>26250569</t>
  </si>
  <si>
    <t>张云</t>
  </si>
  <si>
    <t>03240154</t>
  </si>
  <si>
    <t>蔡鲜</t>
  </si>
  <si>
    <t>25120162</t>
  </si>
  <si>
    <t>于兰</t>
  </si>
  <si>
    <t>18250034</t>
  </si>
  <si>
    <t>热依汉古丽·艾则孜</t>
  </si>
  <si>
    <t>新和县白云通讯</t>
  </si>
  <si>
    <t>巴楚县金箭电动车销售店</t>
  </si>
  <si>
    <t>13120093</t>
  </si>
  <si>
    <t>莫拉阿吉·木太力普</t>
  </si>
  <si>
    <t>小河区邓友彬</t>
  </si>
  <si>
    <t>25240215</t>
  </si>
  <si>
    <t>杨学军</t>
  </si>
  <si>
    <t>02100023</t>
  </si>
  <si>
    <t>白进玉</t>
  </si>
  <si>
    <t>13130049</t>
  </si>
  <si>
    <t>麦麦提依明·阿布都热合曼</t>
  </si>
  <si>
    <t>12100511</t>
  </si>
  <si>
    <t>兰佳新</t>
  </si>
  <si>
    <t>乌苏市达远通讯摊</t>
  </si>
  <si>
    <t>优惠购A</t>
  </si>
  <si>
    <t>16080033</t>
  </si>
  <si>
    <t>彭海军</t>
  </si>
  <si>
    <t>25030080</t>
  </si>
  <si>
    <t>姚春玲</t>
  </si>
  <si>
    <t>阿克苏慧达通讯世际商厦大德店</t>
  </si>
  <si>
    <t>10240039</t>
  </si>
  <si>
    <t>荆小艳</t>
  </si>
  <si>
    <t>06140004</t>
  </si>
  <si>
    <t>冯楠</t>
  </si>
  <si>
    <t>叶城县九洲通讯</t>
  </si>
  <si>
    <t>26240256</t>
  </si>
  <si>
    <t>张小辉</t>
  </si>
  <si>
    <t>墨玉县清澈手机销售店</t>
  </si>
  <si>
    <t>07200001</t>
  </si>
  <si>
    <t>郭天萍</t>
  </si>
  <si>
    <t>26260126</t>
  </si>
  <si>
    <t>张忠艳</t>
  </si>
  <si>
    <t>钟山区鑫隆通讯店</t>
  </si>
  <si>
    <t>霍城县金迪亚尔电动车经销部</t>
  </si>
  <si>
    <t>26130162</t>
  </si>
  <si>
    <t>赵梅</t>
  </si>
  <si>
    <t>八方营业厅彭五七</t>
  </si>
  <si>
    <t>13050006</t>
  </si>
  <si>
    <t>麦尔耶姆古丽·艾海提</t>
  </si>
  <si>
    <t>哈密市君翼通讯有限责任公司-哈密中山北路电信营业厅</t>
  </si>
  <si>
    <t>个体户阿格尔（WYYZZ）</t>
  </si>
  <si>
    <t>文杰移动店</t>
  </si>
  <si>
    <t>07170036</t>
  </si>
  <si>
    <t>葛茜</t>
  </si>
  <si>
    <t>个体户马冬</t>
  </si>
  <si>
    <t>13250103</t>
  </si>
  <si>
    <t>马玉芳</t>
  </si>
  <si>
    <t>定安定城南方电讯行</t>
  </si>
  <si>
    <t>01250018</t>
  </si>
  <si>
    <t>阿依提拉·玉苏甫</t>
  </si>
  <si>
    <t>24230022</t>
  </si>
  <si>
    <t>徐文红</t>
  </si>
  <si>
    <t>沙雅县鑫诚通讯</t>
  </si>
  <si>
    <t>06080027</t>
  </si>
  <si>
    <t>付红艳</t>
  </si>
  <si>
    <t>25240163</t>
  </si>
  <si>
    <t>杨西</t>
  </si>
  <si>
    <t>23260197</t>
  </si>
  <si>
    <t>王正春</t>
  </si>
  <si>
    <t>13230017</t>
  </si>
  <si>
    <t>马文海</t>
  </si>
  <si>
    <t>11040009</t>
  </si>
  <si>
    <t>凯迪尔古丽·伊米提</t>
  </si>
  <si>
    <t>24160016</t>
  </si>
  <si>
    <t>徐鹏超</t>
  </si>
  <si>
    <t>12240182</t>
  </si>
  <si>
    <t>04250117</t>
  </si>
  <si>
    <t>丁瑶</t>
  </si>
  <si>
    <t>07120082</t>
  </si>
  <si>
    <t>古丽努尔·马木提</t>
  </si>
  <si>
    <t>01130007</t>
  </si>
  <si>
    <t>阿曼尼萨·努尔麦提</t>
  </si>
  <si>
    <t>莎车县远通手机卖场</t>
  </si>
  <si>
    <t>清镇市天和通信经营部-清镇天和云岭西路西南数码城店</t>
  </si>
  <si>
    <t>12250096</t>
  </si>
  <si>
    <t>罗艳梅</t>
  </si>
  <si>
    <t>25080145</t>
  </si>
  <si>
    <t>姚华龙</t>
  </si>
  <si>
    <t>19250061</t>
  </si>
  <si>
    <t>尚原</t>
  </si>
  <si>
    <t>01140001</t>
  </si>
  <si>
    <t>阿尼克孜·麦麦提明</t>
  </si>
  <si>
    <t>08070030</t>
  </si>
  <si>
    <t>胡贵涛</t>
  </si>
  <si>
    <t>12180070</t>
  </si>
  <si>
    <t>罗容</t>
  </si>
  <si>
    <t>08240196</t>
  </si>
  <si>
    <t>胡小云</t>
  </si>
  <si>
    <t>远望通信五叉路口店</t>
  </si>
  <si>
    <t>西安市高新区浩行电动车经销部</t>
  </si>
  <si>
    <t>16260016</t>
  </si>
  <si>
    <t>潘正义</t>
  </si>
  <si>
    <t>阿勒泰市你我通讯</t>
  </si>
  <si>
    <t>星宇旗舰店</t>
  </si>
  <si>
    <t>水磨沟区昆仑路新宇通讯店</t>
  </si>
  <si>
    <t>个体户米芳</t>
  </si>
  <si>
    <t>07260062</t>
  </si>
  <si>
    <t>郭正梅</t>
  </si>
  <si>
    <t>西宁市城西区雅勤通讯设备经营部</t>
  </si>
  <si>
    <t>26100036</t>
  </si>
  <si>
    <t>邹杰</t>
  </si>
  <si>
    <t>邹杰团队</t>
  </si>
  <si>
    <t>07080060</t>
  </si>
  <si>
    <t>龚欢</t>
  </si>
  <si>
    <t>26240378</t>
  </si>
  <si>
    <t>张小婕</t>
  </si>
  <si>
    <t>察县胜利通讯手机卖场</t>
  </si>
  <si>
    <t>23230050</t>
  </si>
  <si>
    <t>王伟龙</t>
  </si>
  <si>
    <t>修文县个体户林汉涛</t>
  </si>
  <si>
    <t>个体户杨英</t>
  </si>
  <si>
    <t>25250281</t>
  </si>
  <si>
    <t>杨玉兰</t>
  </si>
  <si>
    <t>26130164</t>
  </si>
  <si>
    <t>张茂浩</t>
  </si>
  <si>
    <t>26120368</t>
  </si>
  <si>
    <t>预留（赵力）</t>
  </si>
  <si>
    <t>26240345</t>
  </si>
  <si>
    <t>张细莎</t>
  </si>
  <si>
    <t>17130016</t>
  </si>
  <si>
    <t>齐曼古丽·库尔班</t>
  </si>
  <si>
    <t>阿图什市祥瑞通讯店</t>
  </si>
  <si>
    <t>13060007</t>
  </si>
  <si>
    <t>马芬花</t>
  </si>
  <si>
    <t>04100068</t>
  </si>
  <si>
    <t>杜金城</t>
  </si>
  <si>
    <t>10250092</t>
  </si>
  <si>
    <t>蒋玉梁</t>
  </si>
  <si>
    <t>23240311</t>
  </si>
  <si>
    <t>预留（王小丽）</t>
  </si>
  <si>
    <t>13080058</t>
  </si>
  <si>
    <t>麦合木提·阿卜杜热依木</t>
  </si>
  <si>
    <t>莱仕电动车行</t>
  </si>
  <si>
    <t>乌鲁木齐市米东区掌中沃通讯店</t>
  </si>
  <si>
    <t>08120099</t>
  </si>
  <si>
    <t>贺拉拉</t>
  </si>
  <si>
    <t>26240066</t>
  </si>
  <si>
    <t>赵旭龙</t>
  </si>
  <si>
    <t>喀什市金庚初电动车店</t>
  </si>
  <si>
    <t>疏勒县苏渝通讯店</t>
  </si>
  <si>
    <t>莎车新诚电子有限公司</t>
  </si>
  <si>
    <t>12100374</t>
  </si>
  <si>
    <t>罗健</t>
  </si>
  <si>
    <t>04110011</t>
  </si>
  <si>
    <t>杜科</t>
  </si>
  <si>
    <t>莎车县新九顺数码手机港</t>
  </si>
  <si>
    <t>12080095</t>
  </si>
  <si>
    <t>李和</t>
  </si>
  <si>
    <t>14050013</t>
  </si>
  <si>
    <t>努尔比耶·斯迪克</t>
  </si>
  <si>
    <t>23100287</t>
  </si>
  <si>
    <t>吴锦江</t>
  </si>
  <si>
    <t>鄯善县启程通讯店</t>
  </si>
  <si>
    <t>小河区韩廷圳</t>
  </si>
  <si>
    <t>10240066</t>
  </si>
  <si>
    <t>角兴贵</t>
  </si>
  <si>
    <t>08080087</t>
  </si>
  <si>
    <t>何和斌</t>
  </si>
  <si>
    <t>12190201</t>
  </si>
  <si>
    <t>刘世兵</t>
  </si>
  <si>
    <t>11190006</t>
  </si>
  <si>
    <t>开赛尔·苏来曼</t>
  </si>
  <si>
    <t>喀什市大十字宏昌通讯</t>
  </si>
  <si>
    <t>23030122</t>
  </si>
  <si>
    <t>喀什市大十字赵国强诚通讯店</t>
  </si>
  <si>
    <t>20250111</t>
  </si>
  <si>
    <t>田源</t>
  </si>
  <si>
    <t>12160072</t>
  </si>
  <si>
    <t>李普明</t>
  </si>
  <si>
    <t>23260194</t>
  </si>
  <si>
    <t>王宗元</t>
  </si>
  <si>
    <t>04160026</t>
  </si>
  <si>
    <t>杜鹏</t>
  </si>
  <si>
    <t>墨玉县齐顺通讯服务部</t>
  </si>
  <si>
    <t>龙里县明之盛通讯旗舰店</t>
  </si>
  <si>
    <t>临河区信捷通讯店</t>
  </si>
  <si>
    <t>12230234</t>
  </si>
  <si>
    <t>李维</t>
  </si>
  <si>
    <t>26070074</t>
  </si>
  <si>
    <t>张国鸿</t>
  </si>
  <si>
    <t>王云龙</t>
  </si>
  <si>
    <t>04240082</t>
  </si>
  <si>
    <t>邓先发</t>
  </si>
  <si>
    <t>06240067</t>
  </si>
  <si>
    <t>冯孝山</t>
  </si>
  <si>
    <t>供电友谊周友生</t>
  </si>
  <si>
    <t>03240198</t>
  </si>
  <si>
    <t>蔡学棋</t>
  </si>
  <si>
    <t>墨玉县浩天通讯店</t>
  </si>
  <si>
    <t>07120102</t>
  </si>
  <si>
    <t>古丽扎尔·阿卜力克木</t>
  </si>
  <si>
    <t>02250056</t>
  </si>
  <si>
    <t>白元程</t>
  </si>
  <si>
    <t>12170157</t>
  </si>
  <si>
    <t>梁其灼</t>
  </si>
  <si>
    <t>中国移动</t>
  </si>
  <si>
    <t>03240204</t>
  </si>
  <si>
    <t>陈小龙</t>
  </si>
  <si>
    <t>20120053</t>
  </si>
  <si>
    <t>唐露</t>
  </si>
  <si>
    <t>沙雅县宏景通讯手机买场</t>
  </si>
  <si>
    <t>18070005</t>
  </si>
  <si>
    <t>任刚</t>
  </si>
  <si>
    <t>26080255</t>
  </si>
  <si>
    <t>赵海龙</t>
  </si>
  <si>
    <t>03160019</t>
  </si>
  <si>
    <t>陈平</t>
  </si>
  <si>
    <t>12250744</t>
  </si>
  <si>
    <t>刘亚锋</t>
  </si>
  <si>
    <t>08230086</t>
  </si>
  <si>
    <t>黄文溪</t>
  </si>
  <si>
    <t>巴彦淖尔市海纳百财通讯器材河港店</t>
  </si>
  <si>
    <t>17110008</t>
  </si>
  <si>
    <t>钱凯</t>
  </si>
  <si>
    <t>08240143</t>
  </si>
  <si>
    <t>莎车县大利市场麦麦提米司林摩托车配件销售店</t>
  </si>
  <si>
    <t>23080169</t>
  </si>
  <si>
    <t>王海浪</t>
  </si>
  <si>
    <t>23230110</t>
  </si>
  <si>
    <t>闻婉婉</t>
  </si>
  <si>
    <t>乌鲁木齐潮客电子商务有限公司-粮校全网通白高伟店</t>
  </si>
  <si>
    <t>24120084</t>
  </si>
  <si>
    <t>轩良</t>
  </si>
  <si>
    <t>渠道</t>
    <phoneticPr fontId="1" type="noConversion"/>
  </si>
  <si>
    <t>产品名称</t>
    <phoneticPr fontId="1" type="noConversion"/>
  </si>
  <si>
    <t>产品编号</t>
  </si>
  <si>
    <t>是否有返点</t>
    <phoneticPr fontId="1" type="noConversion"/>
  </si>
  <si>
    <t>原产品名称</t>
    <phoneticPr fontId="1" type="noConversion"/>
  </si>
  <si>
    <t>产品描述</t>
    <phoneticPr fontId="1" type="noConversion"/>
  </si>
  <si>
    <t>A01</t>
    <phoneticPr fontId="1" type="noConversion"/>
  </si>
  <si>
    <t>一般产品</t>
    <phoneticPr fontId="1" type="noConversion"/>
  </si>
  <si>
    <t>是</t>
    <phoneticPr fontId="1" type="noConversion"/>
  </si>
  <si>
    <t>优惠产品B</t>
    <phoneticPr fontId="1" type="noConversion"/>
  </si>
  <si>
    <t>优惠产品</t>
    <phoneticPr fontId="1" type="noConversion"/>
  </si>
  <si>
    <t>运营商专享</t>
    <phoneticPr fontId="1" type="noConversion"/>
  </si>
  <si>
    <t>10期贷A</t>
    <phoneticPr fontId="1" type="noConversion"/>
  </si>
  <si>
    <t>否</t>
    <phoneticPr fontId="1" type="noConversion"/>
  </si>
  <si>
    <t>10期贷</t>
    <phoneticPr fontId="1" type="noConversion"/>
  </si>
  <si>
    <t>一折贷</t>
    <phoneticPr fontId="1" type="noConversion"/>
  </si>
  <si>
    <t>6期购产品A</t>
    <phoneticPr fontId="1" type="noConversion"/>
  </si>
  <si>
    <t>6期购产品</t>
    <phoneticPr fontId="1" type="noConversion"/>
  </si>
  <si>
    <t>A02</t>
    <phoneticPr fontId="1" type="noConversion"/>
  </si>
  <si>
    <t>优惠产品A</t>
    <phoneticPr fontId="1" type="noConversion"/>
  </si>
  <si>
    <t>A20</t>
    <phoneticPr fontId="1" type="noConversion"/>
  </si>
  <si>
    <t>009产品A</t>
    <phoneticPr fontId="1" type="noConversion"/>
  </si>
  <si>
    <t>009产品</t>
    <phoneticPr fontId="1" type="noConversion"/>
  </si>
  <si>
    <t>A21</t>
    <phoneticPr fontId="1" type="noConversion"/>
  </si>
  <si>
    <t>10期贷C</t>
    <phoneticPr fontId="1" type="noConversion"/>
  </si>
  <si>
    <t>山西10期贷</t>
    <phoneticPr fontId="1" type="noConversion"/>
  </si>
  <si>
    <t>山西-10期贷</t>
    <phoneticPr fontId="1" type="noConversion"/>
  </si>
  <si>
    <t>A27</t>
    <phoneticPr fontId="1" type="noConversion"/>
  </si>
  <si>
    <t>6期购产品B</t>
    <phoneticPr fontId="1" type="noConversion"/>
  </si>
  <si>
    <t>6期购-山西专享</t>
    <phoneticPr fontId="1" type="noConversion"/>
  </si>
  <si>
    <t>山西-6期购</t>
    <phoneticPr fontId="1" type="noConversion"/>
  </si>
  <si>
    <t>A29</t>
    <phoneticPr fontId="1" type="noConversion"/>
  </si>
  <si>
    <t>003产品</t>
    <phoneticPr fontId="1" type="noConversion"/>
  </si>
  <si>
    <t>A43</t>
    <phoneticPr fontId="1" type="noConversion"/>
  </si>
  <si>
    <t>优惠购A</t>
    <phoneticPr fontId="1" type="noConversion"/>
  </si>
  <si>
    <t>优惠购</t>
    <phoneticPr fontId="1" type="noConversion"/>
  </si>
  <si>
    <t>海南-优惠购</t>
    <phoneticPr fontId="1" type="noConversion"/>
  </si>
  <si>
    <t>A46</t>
    <phoneticPr fontId="1" type="noConversion"/>
  </si>
  <si>
    <t>优惠购B</t>
    <phoneticPr fontId="1" type="noConversion"/>
  </si>
  <si>
    <t>山西-优惠购</t>
    <phoneticPr fontId="1" type="noConversion"/>
  </si>
  <si>
    <t>A49</t>
    <phoneticPr fontId="1" type="noConversion"/>
  </si>
  <si>
    <t>灵犀购6</t>
    <phoneticPr fontId="1" type="noConversion"/>
  </si>
  <si>
    <t>海南-灵犀购</t>
    <phoneticPr fontId="1" type="noConversion"/>
  </si>
  <si>
    <t>灵犀购9A</t>
    <phoneticPr fontId="1" type="noConversion"/>
  </si>
  <si>
    <t>灵犀购9B</t>
    <phoneticPr fontId="1" type="noConversion"/>
  </si>
  <si>
    <t>A54</t>
    <phoneticPr fontId="1" type="noConversion"/>
  </si>
  <si>
    <t>民生通讯129产品</t>
    <phoneticPr fontId="1" type="noConversion"/>
  </si>
  <si>
    <t>四川-民生通讯活动产品</t>
    <phoneticPr fontId="1" type="noConversion"/>
  </si>
  <si>
    <t>民生通讯198/199产品</t>
    <phoneticPr fontId="1" type="noConversion"/>
  </si>
  <si>
    <t>民生通讯298产品</t>
    <phoneticPr fontId="1" type="noConversion"/>
  </si>
  <si>
    <t>民生通讯398产品</t>
    <phoneticPr fontId="1" type="noConversion"/>
  </si>
  <si>
    <t>民生通讯98产品</t>
    <phoneticPr fontId="1" type="noConversion"/>
  </si>
  <si>
    <t>A69</t>
    <phoneticPr fontId="1" type="noConversion"/>
  </si>
  <si>
    <t>民生通讯198/199A</t>
    <phoneticPr fontId="1" type="noConversion"/>
  </si>
  <si>
    <t>民生通讯198B</t>
    <phoneticPr fontId="1" type="noConversion"/>
  </si>
  <si>
    <t>民生通讯199B</t>
    <phoneticPr fontId="1" type="noConversion"/>
  </si>
  <si>
    <t>民生通讯398A</t>
    <phoneticPr fontId="1" type="noConversion"/>
  </si>
  <si>
    <t>民生通讯398B</t>
    <phoneticPr fontId="1" type="noConversion"/>
  </si>
  <si>
    <t>民生通讯98/99A</t>
    <phoneticPr fontId="1" type="noConversion"/>
  </si>
  <si>
    <t>民生通讯98B</t>
    <phoneticPr fontId="1" type="noConversion"/>
  </si>
  <si>
    <t>民生通讯99B</t>
    <phoneticPr fontId="1" type="noConversion"/>
  </si>
  <si>
    <t>A61</t>
    <phoneticPr fontId="1" type="noConversion"/>
  </si>
  <si>
    <t>灵犀购9C</t>
    <phoneticPr fontId="1" type="noConversion"/>
  </si>
  <si>
    <t>A58</t>
    <phoneticPr fontId="1" type="noConversion"/>
  </si>
  <si>
    <t>U客购</t>
    <phoneticPr fontId="1" type="noConversion"/>
  </si>
  <si>
    <t>A62</t>
    <phoneticPr fontId="1" type="noConversion"/>
  </si>
  <si>
    <t>10期贷B</t>
    <phoneticPr fontId="1" type="noConversion"/>
  </si>
  <si>
    <t>黑龙江10期贷</t>
    <phoneticPr fontId="1" type="noConversion"/>
  </si>
  <si>
    <t>黑龙江-10期贷</t>
    <phoneticPr fontId="1" type="noConversion"/>
  </si>
  <si>
    <t>A68</t>
    <phoneticPr fontId="1" type="noConversion"/>
  </si>
  <si>
    <t>黑龙江专享产品</t>
    <phoneticPr fontId="1" type="noConversion"/>
  </si>
  <si>
    <t>A70</t>
    <phoneticPr fontId="1" type="noConversion"/>
  </si>
  <si>
    <t>读书郎专享</t>
  </si>
  <si>
    <t>A53</t>
    <phoneticPr fontId="1" type="noConversion"/>
  </si>
  <si>
    <t>灵犀购6A</t>
  </si>
  <si>
    <t>J28</t>
    <phoneticPr fontId="1" type="noConversion"/>
  </si>
  <si>
    <t>009产品B</t>
    <phoneticPr fontId="1" type="noConversion"/>
  </si>
  <si>
    <t>新疆009产品</t>
    <phoneticPr fontId="1" type="noConversion"/>
  </si>
  <si>
    <t>新疆战略部活动</t>
    <phoneticPr fontId="1" type="noConversion"/>
  </si>
  <si>
    <t/>
  </si>
  <si>
    <t>预留（任永佳）</t>
  </si>
  <si>
    <t>预留（韩潇）</t>
  </si>
  <si>
    <t>吴磊团队</t>
  </si>
  <si>
    <t>26240321</t>
  </si>
  <si>
    <t>郑向阳</t>
  </si>
  <si>
    <t>郑向阳团队</t>
  </si>
  <si>
    <t>胡忠旺团队</t>
  </si>
  <si>
    <t>王永辉团队</t>
  </si>
  <si>
    <t>伊可鑫团队</t>
  </si>
  <si>
    <t>莎车县聚成通讯店</t>
  </si>
  <si>
    <t>26250568</t>
  </si>
  <si>
    <t>张燕</t>
  </si>
  <si>
    <t>莎车县帕提明麦麦提电动车销售店</t>
  </si>
  <si>
    <t>阿克陶县鑫泽手机卖场</t>
  </si>
  <si>
    <t>12030250</t>
  </si>
  <si>
    <t>龙册昧</t>
  </si>
  <si>
    <t>23030120</t>
  </si>
  <si>
    <t>魏成立</t>
  </si>
  <si>
    <t>12250541</t>
  </si>
  <si>
    <t>刘雨晨</t>
  </si>
  <si>
    <t>吉木乃县大众通讯店</t>
  </si>
  <si>
    <t>01100005</t>
  </si>
  <si>
    <t>艾晶晶</t>
  </si>
  <si>
    <t>库车艾克拜尔·阿布拉商贸有限公司</t>
  </si>
  <si>
    <t>11120014</t>
  </si>
  <si>
    <t>孔令洪</t>
  </si>
  <si>
    <t>独山县新天地通讯</t>
  </si>
  <si>
    <t>01120012</t>
  </si>
  <si>
    <t>阿丽米热·安木杜</t>
  </si>
  <si>
    <t>23250500</t>
  </si>
  <si>
    <t>08260074</t>
  </si>
  <si>
    <t>胡振宇</t>
  </si>
  <si>
    <t>裕民县杨丽手机销售一分店</t>
  </si>
  <si>
    <t>个体户陈程</t>
  </si>
  <si>
    <t>26250592</t>
  </si>
  <si>
    <t>赵亚春</t>
  </si>
  <si>
    <t>12170236</t>
  </si>
  <si>
    <t>刘其龙</t>
  </si>
  <si>
    <t>洗马大地红通讯</t>
  </si>
  <si>
    <t>海口美兰贝肯通讯商店</t>
  </si>
  <si>
    <t>汇川区亨乐尔通讯经营部</t>
  </si>
  <si>
    <t>西安高新区兴和电子产品经销部</t>
  </si>
  <si>
    <t>伽师县买合粗特江手机专卖店</t>
  </si>
  <si>
    <t>01250032</t>
  </si>
  <si>
    <t>阿依加马力·艾合买提</t>
  </si>
  <si>
    <t>23110063</t>
  </si>
  <si>
    <t>王凯芳</t>
  </si>
  <si>
    <t>疏勒县麦麦提图尔荪电动车销售店</t>
  </si>
  <si>
    <t>乌鲁木齐潮客电子商务有限公司-奇台手机配件杨志亮店</t>
  </si>
  <si>
    <t>04060024</t>
  </si>
  <si>
    <t>杜芙萍</t>
  </si>
  <si>
    <t>01120027</t>
  </si>
  <si>
    <t>艾丽米古丽·阿卜杜热合曼</t>
  </si>
  <si>
    <t>08020035</t>
  </si>
  <si>
    <t>很把提·买热汗</t>
  </si>
  <si>
    <t>巴楚县程锦通讯</t>
  </si>
  <si>
    <t>25130112</t>
  </si>
  <si>
    <t>伊马木·麦麦提</t>
  </si>
  <si>
    <t>26250471</t>
  </si>
  <si>
    <t>张焱</t>
  </si>
  <si>
    <t>英吉沙县新市路鹏辉指定专营店</t>
  </si>
  <si>
    <t>12240549</t>
  </si>
  <si>
    <t>陆兴宽</t>
  </si>
  <si>
    <t>个体户马虎成</t>
  </si>
  <si>
    <t>莎车县蜀豫通讯嘉和店</t>
  </si>
  <si>
    <t>奔的电动车店</t>
  </si>
  <si>
    <t>01190016</t>
  </si>
  <si>
    <t>艾斯克尔·牙库甫</t>
  </si>
  <si>
    <t>巴楚县樊章德电信代办店</t>
  </si>
  <si>
    <t>26250591</t>
  </si>
  <si>
    <t>25260124</t>
  </si>
  <si>
    <t>叶梓轩</t>
  </si>
  <si>
    <t>20190037</t>
  </si>
  <si>
    <t>吐孙·麦麦提尼亚孜</t>
  </si>
  <si>
    <t>25100109</t>
  </si>
  <si>
    <t>23240308</t>
  </si>
  <si>
    <t>王小元</t>
  </si>
  <si>
    <t>12240276</t>
  </si>
  <si>
    <t>李小云</t>
  </si>
  <si>
    <t>23240289</t>
  </si>
  <si>
    <t>温霞</t>
  </si>
  <si>
    <t>19020024</t>
  </si>
  <si>
    <t>宋博</t>
  </si>
  <si>
    <t>23180043</t>
  </si>
  <si>
    <t>吾肉孜古丽·哈任巴依</t>
  </si>
  <si>
    <t>19140010</t>
  </si>
  <si>
    <t>赛那木·吾守尔</t>
  </si>
  <si>
    <t>18080002</t>
  </si>
  <si>
    <t>任海</t>
  </si>
  <si>
    <t>26100256</t>
  </si>
  <si>
    <t>赵家慧</t>
  </si>
  <si>
    <t>26060087</t>
  </si>
  <si>
    <t>臧飞</t>
  </si>
  <si>
    <t>叶城县火炬电动车销售店</t>
  </si>
  <si>
    <t>观山湖狗场OPPO手机店个体户罗勉</t>
  </si>
  <si>
    <t>13180024</t>
  </si>
  <si>
    <t>米热班古丽·亚森</t>
  </si>
  <si>
    <t>02070010</t>
  </si>
  <si>
    <t>卜古丽·阿卜力米提</t>
  </si>
  <si>
    <t>墨玉县杰吾兰手机销售部</t>
  </si>
  <si>
    <t>25200063</t>
  </si>
  <si>
    <t>伊婷</t>
  </si>
  <si>
    <t>03160032</t>
  </si>
  <si>
    <t>岑朋</t>
  </si>
  <si>
    <t>昌吉市清华祥龙电动车经销部</t>
  </si>
  <si>
    <t>12100552</t>
  </si>
  <si>
    <t>刘洁</t>
  </si>
  <si>
    <t>和田市华杰商贸有限公司雅迪店</t>
  </si>
  <si>
    <t>25050011</t>
  </si>
  <si>
    <t>约尔妮萨·阿卜来提</t>
  </si>
  <si>
    <t>12130231</t>
  </si>
  <si>
    <t>刘明哲</t>
  </si>
  <si>
    <t>沙湾县个体户周志辉-启航通讯</t>
  </si>
  <si>
    <t>岳普湖新时代手机卖场</t>
  </si>
  <si>
    <t>预留（徐辉）</t>
  </si>
  <si>
    <t>王中宇</t>
  </si>
  <si>
    <t>王中宇团队</t>
  </si>
  <si>
    <t>马飞团队</t>
  </si>
  <si>
    <t>吕鑫团队</t>
  </si>
  <si>
    <t>预留（刘雪剑）</t>
  </si>
  <si>
    <t>11120023</t>
  </si>
  <si>
    <t>克里比努尔·吐送江</t>
  </si>
  <si>
    <t>十月路阳光数码通讯店</t>
  </si>
  <si>
    <t>26130121</t>
  </si>
  <si>
    <t>赵梦瑶</t>
  </si>
  <si>
    <t>24230041</t>
  </si>
  <si>
    <t>肖文</t>
  </si>
  <si>
    <t>都匀市平桥万利通讯</t>
  </si>
  <si>
    <t>13100119</t>
  </si>
  <si>
    <t>马金虎</t>
  </si>
  <si>
    <t>19140011</t>
  </si>
  <si>
    <t>沙尼亚·麦麦提斯迪克</t>
  </si>
  <si>
    <t>巴楚县雅歌通讯店</t>
  </si>
  <si>
    <t>13250130</t>
  </si>
  <si>
    <t>马玉玲</t>
  </si>
  <si>
    <t>16050005</t>
  </si>
  <si>
    <t>帕尔卡提江·艾斯卡</t>
  </si>
  <si>
    <t>19040049</t>
  </si>
  <si>
    <t>萨代提·阿布都拉</t>
  </si>
  <si>
    <t>12190229</t>
  </si>
  <si>
    <t>李沙</t>
  </si>
  <si>
    <t>霍城县赛合丽电动车维修部</t>
  </si>
  <si>
    <t>10期贷B</t>
  </si>
  <si>
    <t>岳普湖县大阳摩托车销售店</t>
  </si>
  <si>
    <t>巴州宏日商贸有限公司</t>
  </si>
  <si>
    <t>喀什市科筹通讯器材店</t>
  </si>
  <si>
    <t>07250134</t>
  </si>
  <si>
    <t>高亚彬</t>
  </si>
  <si>
    <t>昌吉市致凡电脑经销部</t>
  </si>
  <si>
    <t>顺达全网通</t>
  </si>
  <si>
    <t>疏勒县众升通讯专营店</t>
  </si>
  <si>
    <t>25130106</t>
  </si>
  <si>
    <t>严明</t>
  </si>
  <si>
    <t>26200094</t>
  </si>
  <si>
    <t>张天豪</t>
  </si>
  <si>
    <t>莎车县吾达力克镇6号分店</t>
  </si>
  <si>
    <t>瓮安县花竹园手机维修店</t>
  </si>
  <si>
    <t>伽师县信威通讯</t>
  </si>
  <si>
    <t>轮台县彩帕尔通讯店</t>
  </si>
  <si>
    <t>阿合奇县新泉指定专营店</t>
  </si>
  <si>
    <t>贵阳联讯捷通安顺联讯手机超市</t>
  </si>
  <si>
    <t>12250794</t>
  </si>
  <si>
    <t>刘云康</t>
  </si>
  <si>
    <t>04040020</t>
  </si>
  <si>
    <t>邓东明</t>
  </si>
  <si>
    <t>12110074</t>
  </si>
  <si>
    <t>李凯威</t>
  </si>
  <si>
    <t>罗甸县新航通讯店</t>
  </si>
  <si>
    <t>喀什市搏锋电子产品经销部</t>
  </si>
  <si>
    <t>24030053</t>
  </si>
  <si>
    <t>肖存雷</t>
  </si>
  <si>
    <t>25030097</t>
  </si>
  <si>
    <t>岳春阳</t>
  </si>
  <si>
    <t>23060079</t>
  </si>
  <si>
    <t>王芳</t>
  </si>
  <si>
    <t>临河区佳丽通讯部</t>
  </si>
  <si>
    <t>23160056</t>
  </si>
  <si>
    <t>文萍</t>
  </si>
  <si>
    <t>海口美兰悟俱嘉通讯商行</t>
  </si>
  <si>
    <t>罗甸县铭星通讯沃店</t>
  </si>
  <si>
    <t>巩留县马如军电动车商行</t>
  </si>
  <si>
    <t>26100066</t>
  </si>
  <si>
    <t>张景燕</t>
  </si>
  <si>
    <t>和源通讯</t>
  </si>
  <si>
    <t>二桥雅迪车行</t>
  </si>
  <si>
    <t>星宇通讯色拉路店</t>
  </si>
  <si>
    <t>海口龙华海垦蓝新通讯店-海秀店</t>
  </si>
  <si>
    <t>25010001</t>
  </si>
  <si>
    <t>杨安明</t>
  </si>
  <si>
    <t>云岩区张明飞</t>
  </si>
  <si>
    <t>12060043</t>
  </si>
  <si>
    <t>刘芳</t>
  </si>
  <si>
    <t>哈密市君翼通讯有限责任公司-奥特店</t>
  </si>
  <si>
    <t>阿图什市奔宝电动车专卖店</t>
  </si>
  <si>
    <t>12080200</t>
  </si>
  <si>
    <t>刘欢</t>
  </si>
  <si>
    <t>和田市东方通讯店</t>
  </si>
  <si>
    <t>特克斯县锋行通讯店</t>
  </si>
  <si>
    <t>168通讯</t>
  </si>
  <si>
    <t>沙依巴克区西山西街乐天通讯器材店</t>
  </si>
  <si>
    <t>23110064</t>
  </si>
  <si>
    <t>吴开廷</t>
  </si>
  <si>
    <t>杨洋</t>
  </si>
  <si>
    <t>乌拉特后旗巴音宝力格镇卓越通讯</t>
  </si>
  <si>
    <t>天山区解放南路提力甫尼其通讯器材店</t>
  </si>
  <si>
    <t>01080014</t>
  </si>
  <si>
    <t>艾海提·克里木</t>
  </si>
  <si>
    <t>26190091</t>
  </si>
  <si>
    <t>庄仕旭</t>
  </si>
  <si>
    <t>额敏县天源移动营业厅</t>
  </si>
  <si>
    <t>个体户余同利</t>
  </si>
  <si>
    <t>19120071</t>
  </si>
  <si>
    <t>宋柳槿</t>
  </si>
  <si>
    <t>威宁县天新手机专卖店</t>
  </si>
  <si>
    <t>乌鲁木齐潮客电子商务有限公司-准葛尔路VIVO佳音手机卖场</t>
  </si>
  <si>
    <t>岳普湖县机缘巧合手机销售店</t>
  </si>
  <si>
    <t>12080070</t>
  </si>
  <si>
    <t>李红霞</t>
  </si>
  <si>
    <t>钟山区恒扬通讯经营部</t>
  </si>
  <si>
    <t>12080304</t>
  </si>
  <si>
    <t>罗华</t>
  </si>
  <si>
    <t>08100177</t>
  </si>
  <si>
    <t>黄健</t>
  </si>
  <si>
    <t>25110018</t>
  </si>
  <si>
    <t>闫凯</t>
  </si>
  <si>
    <t>26050007</t>
  </si>
  <si>
    <t>张恩哲</t>
  </si>
  <si>
    <t>和田市顺发手机体验店</t>
  </si>
  <si>
    <t>墨玉县夏特兰手机销售店</t>
  </si>
  <si>
    <t>温宿县大众通讯特约代理点</t>
  </si>
  <si>
    <t>08250232</t>
  </si>
  <si>
    <t>黄元梅</t>
  </si>
  <si>
    <t>26040099</t>
  </si>
  <si>
    <t>朱达永</t>
  </si>
  <si>
    <t>13050013</t>
  </si>
  <si>
    <t>米尔姑丽·热合曼</t>
  </si>
  <si>
    <t>12240503</t>
  </si>
  <si>
    <t>李霞</t>
  </si>
  <si>
    <t>方冠电子林海燕</t>
  </si>
  <si>
    <t>伽师县科讯通讯</t>
  </si>
  <si>
    <t>07240106</t>
  </si>
  <si>
    <t>关新丽</t>
  </si>
  <si>
    <t>23250415</t>
  </si>
  <si>
    <t>王雅菲</t>
  </si>
  <si>
    <t>甘肃省临夏市为民通讯</t>
  </si>
  <si>
    <t>23100294</t>
  </si>
  <si>
    <t>吴继鑫</t>
  </si>
  <si>
    <t>10230036</t>
  </si>
  <si>
    <t>蒋为</t>
  </si>
  <si>
    <t>福海县建忠摩托车修理配件中心</t>
  </si>
  <si>
    <t>25160043</t>
  </si>
  <si>
    <t>伊帕尔古丽·艾热提</t>
  </si>
  <si>
    <t>25230061</t>
  </si>
  <si>
    <t>杨万鹏</t>
  </si>
  <si>
    <t>城关区皋兰路湘湘维沃手机店</t>
  </si>
  <si>
    <t>25250322</t>
  </si>
  <si>
    <t>杨言江</t>
  </si>
  <si>
    <t>库尔勒市久辉电动车行</t>
  </si>
  <si>
    <t>伽师县太平洋通讯</t>
  </si>
  <si>
    <t>26240372</t>
  </si>
  <si>
    <t>张晓娟</t>
  </si>
  <si>
    <t>个体户阿卜杜力米提·阿塔伍拉</t>
  </si>
  <si>
    <t>03200044</t>
  </si>
  <si>
    <t>陈甜甜</t>
  </si>
  <si>
    <t>25040025</t>
  </si>
  <si>
    <t>岳丹</t>
  </si>
  <si>
    <t>和田市腾达通讯店</t>
  </si>
  <si>
    <t>沙湾县三道河子镇益阳通讯</t>
  </si>
  <si>
    <t>12100499</t>
  </si>
  <si>
    <t>陆嘉玮</t>
  </si>
  <si>
    <t>07170048</t>
  </si>
  <si>
    <t>高青梅</t>
  </si>
  <si>
    <t>07040022</t>
  </si>
  <si>
    <t>高丹</t>
  </si>
  <si>
    <t>25130060</t>
  </si>
  <si>
    <t>杨民武</t>
  </si>
  <si>
    <t>25030102</t>
  </si>
  <si>
    <t>杨承丽</t>
  </si>
  <si>
    <t>红果时代通讯设备经营部</t>
  </si>
  <si>
    <t>祥翼手机城旗舰店</t>
  </si>
  <si>
    <t>喀什市诚信金邦电动车商行</t>
  </si>
  <si>
    <t>25020071</t>
  </si>
  <si>
    <t>游本净</t>
  </si>
  <si>
    <t>07120109</t>
  </si>
  <si>
    <t>古丽米热·艾尔肯</t>
  </si>
  <si>
    <t>23190188</t>
  </si>
  <si>
    <t>吴淑颜</t>
  </si>
  <si>
    <t>海口农垦邮联通信营业部二店</t>
  </si>
  <si>
    <t>沙依巴克区西山西街麒骏通讯手机店</t>
  </si>
  <si>
    <t>13070020</t>
  </si>
  <si>
    <t>马国奇</t>
  </si>
  <si>
    <t>久零手机通讯</t>
  </si>
  <si>
    <t>15170003</t>
  </si>
  <si>
    <t>欧强</t>
  </si>
  <si>
    <t>24060011</t>
  </si>
  <si>
    <t>预留（夏峰瑞）</t>
  </si>
  <si>
    <t>03080051</t>
  </si>
  <si>
    <t>曹红侠</t>
  </si>
  <si>
    <t>乌鲁木齐讯世达商贸有限公司</t>
  </si>
  <si>
    <t>张勇</t>
  </si>
  <si>
    <t>张勇团队</t>
  </si>
  <si>
    <t>18120026</t>
  </si>
  <si>
    <t>茹灵</t>
  </si>
  <si>
    <t>吴鹏飞</t>
  </si>
  <si>
    <t>吴鹏飞团队</t>
  </si>
  <si>
    <t>12250481</t>
  </si>
  <si>
    <t>李艳</t>
  </si>
  <si>
    <t>26100343</t>
  </si>
  <si>
    <t>赵佳玉</t>
  </si>
  <si>
    <t>乌鲁木齐潮客电子商务有限公司-五家渠魅嘉通讯店</t>
  </si>
  <si>
    <t>24120101</t>
  </si>
  <si>
    <t>许莉</t>
  </si>
  <si>
    <t>03190120</t>
  </si>
  <si>
    <t>陈思思</t>
  </si>
  <si>
    <t>13190040</t>
  </si>
  <si>
    <t>孟莎</t>
  </si>
  <si>
    <t>喀什市洪雨移动业务代办点</t>
  </si>
  <si>
    <t>裕民县信泽通讯第一分店</t>
  </si>
  <si>
    <t>24240125</t>
  </si>
  <si>
    <t>徐雪影</t>
  </si>
  <si>
    <t>23240331</t>
  </si>
  <si>
    <t>王小兰</t>
  </si>
  <si>
    <t>12080278</t>
  </si>
  <si>
    <t>刘海英</t>
  </si>
  <si>
    <t>特克斯县华诺通讯店</t>
  </si>
  <si>
    <t>23120236</t>
  </si>
  <si>
    <t>外力·亚森</t>
  </si>
  <si>
    <t>01040015</t>
  </si>
  <si>
    <t>阿迪力·米吉提</t>
  </si>
  <si>
    <t>12260315</t>
  </si>
  <si>
    <t>刘志伟</t>
  </si>
  <si>
    <t>23190189</t>
  </si>
  <si>
    <t>王素英</t>
  </si>
  <si>
    <t>城西博灵电子</t>
  </si>
  <si>
    <t>23250490</t>
  </si>
  <si>
    <t>王毅</t>
  </si>
  <si>
    <t>巩留县星长鑫通讯</t>
  </si>
  <si>
    <t>13250102</t>
  </si>
  <si>
    <t>马依拉·阿扎提</t>
  </si>
  <si>
    <t>贵阳市经济技术开发区金万达通讯器材经营部</t>
  </si>
  <si>
    <t>02070005</t>
  </si>
  <si>
    <t>毕贵彬</t>
  </si>
  <si>
    <t>12160092</t>
  </si>
  <si>
    <t>刘鹏</t>
  </si>
  <si>
    <t>12120317</t>
  </si>
  <si>
    <t>李莉</t>
  </si>
  <si>
    <t>昭苏县察汗乌苏乡佳迅手机专卖店</t>
  </si>
  <si>
    <t>11120026</t>
  </si>
  <si>
    <t>库丽木汗·多斯木</t>
  </si>
  <si>
    <t>26080234</t>
  </si>
  <si>
    <t>卓怀忠</t>
  </si>
  <si>
    <t>龙里县本铃电动车行</t>
  </si>
  <si>
    <t>06100066</t>
  </si>
  <si>
    <t>付静</t>
  </si>
  <si>
    <t>04230060</t>
  </si>
  <si>
    <t>戴玮</t>
  </si>
  <si>
    <t>伽师县宇航通讯移动代办点</t>
  </si>
  <si>
    <t>19100113</t>
  </si>
  <si>
    <t>孙静杰</t>
  </si>
  <si>
    <t>喆喆手机卖场</t>
  </si>
  <si>
    <t>罗甸县铭星通讯店</t>
  </si>
  <si>
    <t>04100106</t>
  </si>
  <si>
    <t>邓久彪</t>
  </si>
  <si>
    <t>轮台县维沃体验店</t>
  </si>
  <si>
    <t>02040009</t>
  </si>
  <si>
    <t>巴东才仁</t>
  </si>
  <si>
    <t>墨玉县仁智通讯部</t>
  </si>
  <si>
    <t>11120027</t>
  </si>
  <si>
    <t>凯丽比努尔·米尔阿卜杜拉</t>
  </si>
  <si>
    <t>01050009</t>
  </si>
  <si>
    <t>阿尔祖·麦明提明</t>
  </si>
  <si>
    <t>26180082</t>
  </si>
  <si>
    <t>赵芮恒</t>
  </si>
  <si>
    <t>06190031</t>
  </si>
  <si>
    <t>符莎莎</t>
  </si>
  <si>
    <t>14050015</t>
  </si>
  <si>
    <t>努尔古丽·麦麦提吐尔孙</t>
  </si>
  <si>
    <t>个体户王慧君（WYYZZ）</t>
  </si>
  <si>
    <t>喀什市泓丰手机销售部</t>
  </si>
  <si>
    <t>08130074</t>
  </si>
  <si>
    <t>胡苗</t>
  </si>
  <si>
    <t>26030179</t>
  </si>
  <si>
    <t>周成</t>
  </si>
  <si>
    <t>26240293</t>
  </si>
  <si>
    <t>赵新兵</t>
  </si>
  <si>
    <t>和田市至上通信手机卖场-三孚店</t>
  </si>
  <si>
    <t>13230038</t>
  </si>
  <si>
    <t>马文俊</t>
  </si>
  <si>
    <t>25080158</t>
  </si>
  <si>
    <t>余洪仙</t>
  </si>
  <si>
    <t>岳普湖县永盛通信设备零售店</t>
  </si>
  <si>
    <t>乌拉特前旗乌拉山乐语通讯手机卖场</t>
  </si>
  <si>
    <t>23110029</t>
  </si>
  <si>
    <t>武凯</t>
  </si>
  <si>
    <t>23130112</t>
  </si>
  <si>
    <t>吴媚</t>
  </si>
  <si>
    <t>阿克苏市丝绸之路手机店一分店</t>
  </si>
  <si>
    <t>华普电器</t>
  </si>
  <si>
    <t>04130037</t>
  </si>
  <si>
    <t>丁敏</t>
  </si>
  <si>
    <t>个体户宋德顺</t>
  </si>
  <si>
    <t>隆阳区鑫珍手机店</t>
  </si>
  <si>
    <t>08260107</t>
  </si>
  <si>
    <t>哈孜依拉·巴哈提</t>
  </si>
  <si>
    <t>个体户张金财</t>
  </si>
  <si>
    <t>金鑫通讯</t>
  </si>
  <si>
    <t>莎车县新时代手机卖场</t>
  </si>
  <si>
    <t>26180090</t>
  </si>
  <si>
    <t>左热古丽·玉森</t>
  </si>
  <si>
    <t>03120154</t>
  </si>
  <si>
    <t>郑利刚</t>
  </si>
  <si>
    <t>郑利刚团队</t>
  </si>
  <si>
    <t>26260161</t>
  </si>
  <si>
    <t>张侦娅</t>
  </si>
  <si>
    <t>宏翔通讯</t>
  </si>
  <si>
    <t>13250094</t>
  </si>
  <si>
    <t>穆耶赛尔·阿布都艾尼</t>
  </si>
  <si>
    <t>温宿县精诚缘通讯</t>
  </si>
  <si>
    <t>个体户蒋广文</t>
  </si>
  <si>
    <t>新丝路电动车</t>
  </si>
  <si>
    <t>02230009</t>
  </si>
  <si>
    <t>布威海丽且姆·图尔荪</t>
  </si>
  <si>
    <t>高昌区新仲邮通讯店-联通公司店</t>
  </si>
  <si>
    <t>24250286</t>
  </si>
  <si>
    <t>夏依玛尔旦·艾山</t>
  </si>
  <si>
    <t>金腾2店</t>
  </si>
  <si>
    <t>王娜娜</t>
  </si>
  <si>
    <t>12130195</t>
  </si>
  <si>
    <t>雷鸣</t>
  </si>
  <si>
    <t>07020018</t>
  </si>
  <si>
    <t>郭彪</t>
  </si>
  <si>
    <t>喀什市刘斌移动业务代办店</t>
  </si>
  <si>
    <t>03040058</t>
  </si>
  <si>
    <t>陈东山</t>
  </si>
  <si>
    <t>26040102</t>
  </si>
  <si>
    <t>周登禄</t>
  </si>
  <si>
    <t>兰州市城关区立达通讯器材经营部</t>
  </si>
  <si>
    <t>12030142</t>
  </si>
  <si>
    <t>蔺晨晨</t>
  </si>
  <si>
    <t>02250022</t>
  </si>
  <si>
    <t>白宇童</t>
  </si>
  <si>
    <t>19040046</t>
  </si>
  <si>
    <t>山得哈什·胡萨依哈择</t>
  </si>
  <si>
    <t>24080059</t>
  </si>
  <si>
    <t>薛虹燕</t>
  </si>
  <si>
    <t>23230127</t>
  </si>
  <si>
    <t>预留（王伟）</t>
  </si>
  <si>
    <t>库车玉奇吾斯塘库尔班联通合作厅</t>
  </si>
  <si>
    <t>13050012</t>
  </si>
  <si>
    <t>买尔旦·库尔班</t>
  </si>
  <si>
    <t>03250305</t>
  </si>
  <si>
    <t>陈延平</t>
  </si>
  <si>
    <t>23140039</t>
  </si>
  <si>
    <t>01110009</t>
  </si>
  <si>
    <t>艾科热木·艾麦尔</t>
  </si>
  <si>
    <t>金龙通讯</t>
  </si>
  <si>
    <t>23160068</t>
  </si>
  <si>
    <t>王鹏</t>
  </si>
  <si>
    <t>12260241</t>
  </si>
  <si>
    <t>罗钟雪</t>
  </si>
  <si>
    <t>金沙县启航通讯经营部</t>
  </si>
  <si>
    <t>04160020</t>
  </si>
  <si>
    <t>段朋元</t>
  </si>
  <si>
    <t>高昌区万顺通讯销售店</t>
  </si>
  <si>
    <t>12240365</t>
  </si>
  <si>
    <t>林雪海</t>
  </si>
  <si>
    <t>25200078</t>
  </si>
  <si>
    <t>杨桃莉</t>
  </si>
  <si>
    <t>06170025</t>
  </si>
  <si>
    <t>符琪</t>
  </si>
  <si>
    <t>12170221</t>
  </si>
  <si>
    <t>梁勤沂</t>
  </si>
  <si>
    <t>永恒通讯</t>
  </si>
  <si>
    <t>26180091</t>
  </si>
  <si>
    <t>张绒绒</t>
  </si>
  <si>
    <t>乌鲁木齐潮客电子商务有限公司-新市区粮校桐乡二巷张昌平通讯店</t>
  </si>
  <si>
    <t>26190035</t>
  </si>
  <si>
    <t>张少辉</t>
  </si>
  <si>
    <t>兴义市城泰通讯经营部</t>
  </si>
  <si>
    <t>喀什市步行街VIVO体验店</t>
  </si>
  <si>
    <t>17100008</t>
  </si>
  <si>
    <t>秦家军</t>
  </si>
  <si>
    <t>伽师县鸿运来超市</t>
  </si>
  <si>
    <t>01260017</t>
  </si>
  <si>
    <t>艾孜提艾力·阿卜杜热合曼</t>
  </si>
  <si>
    <t>25140026</t>
  </si>
  <si>
    <t>杨能盛</t>
  </si>
  <si>
    <t>英吉沙县五星钻豹电动车销售部</t>
  </si>
  <si>
    <t>19080082</t>
  </si>
  <si>
    <t>沈航</t>
  </si>
  <si>
    <t>16250066</t>
  </si>
  <si>
    <t>蒲燕红</t>
  </si>
  <si>
    <t>26020081</t>
  </si>
  <si>
    <t>张冰冰</t>
  </si>
  <si>
    <t>乌鲁木齐潮客电子商务有限公司-昌吉市魔方易购小店</t>
  </si>
  <si>
    <t>08230087</t>
  </si>
  <si>
    <t>何文飞</t>
  </si>
  <si>
    <t>云岩区黄金路万茂</t>
  </si>
  <si>
    <t>12100175</t>
  </si>
  <si>
    <t>李吉</t>
  </si>
  <si>
    <t>07100015</t>
  </si>
  <si>
    <t>高俊杰</t>
  </si>
  <si>
    <t>01050005</t>
  </si>
  <si>
    <t>阿尔祖古丽·克热木</t>
  </si>
  <si>
    <t>祝平安店</t>
  </si>
  <si>
    <t>12050008</t>
  </si>
  <si>
    <t>李恩斯</t>
  </si>
  <si>
    <t>19080075</t>
  </si>
  <si>
    <t>盛皓月</t>
  </si>
  <si>
    <t>03250304</t>
  </si>
  <si>
    <t>陈亚兴</t>
  </si>
  <si>
    <t>06030021</t>
  </si>
  <si>
    <t>符传文</t>
  </si>
  <si>
    <t>个体户尼亚孜·沙塔尔</t>
  </si>
  <si>
    <t>个体户曹有才</t>
  </si>
  <si>
    <t>万宁万城百信手机店</t>
  </si>
  <si>
    <t>08170108</t>
  </si>
  <si>
    <t>黄乔曼</t>
  </si>
  <si>
    <t>鄯善县珠拉通讯店</t>
  </si>
  <si>
    <t>霍城县乐淘通讯店</t>
  </si>
  <si>
    <t>阿勒泰市北屯润迅通信店</t>
  </si>
  <si>
    <t>26250552</t>
  </si>
  <si>
    <t>张永海</t>
  </si>
  <si>
    <t>03170067</t>
  </si>
  <si>
    <t>陈秋霖</t>
  </si>
  <si>
    <t>预留（杨辉）</t>
  </si>
  <si>
    <t>慧慧手机超市</t>
  </si>
  <si>
    <t>新和县未来通讯</t>
  </si>
  <si>
    <t>08120142</t>
  </si>
  <si>
    <t>哈力穆拉提·艾山江</t>
  </si>
  <si>
    <t>14050016</t>
  </si>
  <si>
    <t>努尔曼古丽·库尔班</t>
  </si>
  <si>
    <t>克拉玛依区两木叁撇数码通讯设备零售店</t>
  </si>
  <si>
    <t>南明一区洪华兵</t>
  </si>
  <si>
    <t>个体户陈远壮</t>
  </si>
  <si>
    <t>个体户丁六霞</t>
  </si>
  <si>
    <t>07250103</t>
  </si>
  <si>
    <t>甘云江</t>
  </si>
  <si>
    <t>乌鲁木齐潮客电子商务有限公司-米东区万象店oppo店</t>
  </si>
  <si>
    <t>24240121</t>
  </si>
  <si>
    <t>谢旭东</t>
  </si>
  <si>
    <t>24120090</t>
  </si>
  <si>
    <t>谢浪</t>
  </si>
  <si>
    <t>伊宁县彩信手机卖场</t>
  </si>
  <si>
    <t>西安曲江新区(大明宫)安安电动车经销部</t>
  </si>
  <si>
    <t>海口民开泰通信器材有限公司</t>
  </si>
  <si>
    <t>26250448</t>
  </si>
  <si>
    <t>朱允慧</t>
  </si>
  <si>
    <t>清镇宏泰通讯器材经营部-清镇宏泰通讯店</t>
  </si>
  <si>
    <t>霍城县大众家电超市</t>
  </si>
  <si>
    <t>12230183</t>
  </si>
  <si>
    <t>刘文彬</t>
  </si>
  <si>
    <t>杜尔伯特蒙古族自治县明巍通讯器材商店</t>
  </si>
  <si>
    <t>中信通讯</t>
  </si>
  <si>
    <t>巴楚县阅达通讯店</t>
  </si>
  <si>
    <t>04240019</t>
  </si>
  <si>
    <t>杜鑫</t>
  </si>
  <si>
    <t>12110007</t>
  </si>
  <si>
    <t>李可矜</t>
  </si>
  <si>
    <t>和田市顺财手机体验店-顺鸿店</t>
  </si>
  <si>
    <t>19100119</t>
  </si>
  <si>
    <t>石继娟</t>
  </si>
  <si>
    <t>19170049</t>
  </si>
  <si>
    <t>苏清泉</t>
  </si>
  <si>
    <t>13250131</t>
  </si>
  <si>
    <t>马艺豪</t>
  </si>
  <si>
    <t>25120182</t>
  </si>
  <si>
    <t>杨罗琼</t>
  </si>
  <si>
    <t>23080220</t>
  </si>
  <si>
    <t>魏航</t>
  </si>
  <si>
    <t>24180028</t>
  </si>
  <si>
    <t>谢仁古丽·肖开提</t>
  </si>
  <si>
    <t>03100209</t>
  </si>
  <si>
    <t>陈建川</t>
  </si>
  <si>
    <t>伽师县热甫开提VIVO维沃专卖店</t>
  </si>
  <si>
    <t>硕达通讯</t>
  </si>
  <si>
    <t>23200068</t>
  </si>
  <si>
    <t>王天武</t>
  </si>
  <si>
    <t>03240206</t>
  </si>
  <si>
    <t>陈兴礼</t>
  </si>
  <si>
    <t>腾冲市腾越镇迎合通讯店</t>
  </si>
  <si>
    <t>26140044</t>
  </si>
  <si>
    <t>赵年德</t>
  </si>
  <si>
    <t>26200096</t>
  </si>
  <si>
    <t>张天宇</t>
  </si>
  <si>
    <t>653102018110203082</t>
  </si>
  <si>
    <t>522702018110103593</t>
  </si>
  <si>
    <t>罗甸县边阳镇钰涵科技通讯店</t>
  </si>
  <si>
    <t>150802018110101345</t>
  </si>
  <si>
    <t>12250763</t>
  </si>
  <si>
    <t>李勇</t>
  </si>
  <si>
    <t>653102018110103150</t>
  </si>
  <si>
    <t>650102018110101860</t>
  </si>
  <si>
    <t>乌鲁木齐潮客电子商务有限公司-火车西站安康路西巷信达通通讯店</t>
  </si>
  <si>
    <t>13230025</t>
  </si>
  <si>
    <t>马伟玲</t>
  </si>
  <si>
    <t>520202018110102707</t>
  </si>
  <si>
    <t>654002018110202514</t>
  </si>
  <si>
    <t>霍城县网信春雷手机店</t>
  </si>
  <si>
    <t>520102018110201457</t>
  </si>
  <si>
    <t>观山湖狗场琴红通讯个体户王仕中</t>
  </si>
  <si>
    <t>522702018110302195</t>
  </si>
  <si>
    <t>652302018110101851</t>
  </si>
  <si>
    <t>昌吉市宏杨通讯器材经营部</t>
  </si>
  <si>
    <t>522602018110302517</t>
  </si>
  <si>
    <t>个体户何胜兰</t>
  </si>
  <si>
    <t>26080212</t>
  </si>
  <si>
    <t>周湖星</t>
  </si>
  <si>
    <t>653102018110302176</t>
  </si>
  <si>
    <t>岳普湖县热孜万古丽摩托车销售店</t>
  </si>
  <si>
    <t>460102018110102852</t>
  </si>
  <si>
    <t>540102018110103439</t>
  </si>
  <si>
    <t>150802018110301874</t>
  </si>
  <si>
    <t>巴彦淖尔市临河区星运通讯二分店</t>
  </si>
  <si>
    <t>03250145</t>
  </si>
  <si>
    <t>曹宇</t>
  </si>
  <si>
    <t>540102018110102497</t>
  </si>
  <si>
    <t>贵尊摩托车行</t>
  </si>
  <si>
    <t>654002018110201542</t>
  </si>
  <si>
    <t>653002018110302094</t>
  </si>
  <si>
    <t>653102018110302212</t>
  </si>
  <si>
    <t>652302018110302402</t>
  </si>
  <si>
    <t>昌吉市鑫鹏手机经销店</t>
  </si>
  <si>
    <t>23250516</t>
  </si>
  <si>
    <t>魏雅莉</t>
  </si>
  <si>
    <t>652102018110103206</t>
  </si>
  <si>
    <t>高昌区玛雅克通讯店</t>
  </si>
  <si>
    <t>24240108</t>
  </si>
  <si>
    <t>徐孝</t>
  </si>
  <si>
    <t>610102018110102503</t>
  </si>
  <si>
    <t>654002018110203016</t>
  </si>
  <si>
    <t>530102018110302166</t>
  </si>
  <si>
    <t>昆明市西山区动盟电动车经营部</t>
  </si>
  <si>
    <t>23020075</t>
  </si>
  <si>
    <t>10120056</t>
  </si>
  <si>
    <t>蒋龙飞</t>
  </si>
  <si>
    <t>13250120</t>
  </si>
  <si>
    <t>玛伊热·艾麦提</t>
  </si>
  <si>
    <t>652902018110101878</t>
  </si>
  <si>
    <t>乌什县时尚一族通信旗舰店</t>
  </si>
  <si>
    <t>653102018110103558</t>
  </si>
  <si>
    <t>26120379</t>
  </si>
  <si>
    <t>祖丽皮亚·排孜艾合买提</t>
  </si>
  <si>
    <t>522402018110200846</t>
  </si>
  <si>
    <t>653102018110203651</t>
  </si>
  <si>
    <t>653102018110202810</t>
  </si>
  <si>
    <t>653102018110403956</t>
  </si>
  <si>
    <t>540102018110302380</t>
  </si>
  <si>
    <t>新宇峰数码</t>
  </si>
  <si>
    <t>653002018110103185</t>
  </si>
  <si>
    <t>652902018110103075</t>
  </si>
  <si>
    <t>新和县阿布力米提手机销售店</t>
  </si>
  <si>
    <t>11120028</t>
  </si>
  <si>
    <t>卡力比努尔·阿不来提</t>
  </si>
  <si>
    <t>653102018110103373</t>
  </si>
  <si>
    <t>伽师县吾布力卡斯木阿白克手机销售店</t>
  </si>
  <si>
    <t>653102018110202061</t>
  </si>
  <si>
    <t>231202018110401409</t>
  </si>
  <si>
    <t>华科手机卖场小米</t>
  </si>
  <si>
    <t>654302018110103370</t>
  </si>
  <si>
    <t>郑庆丽（柜台）</t>
  </si>
  <si>
    <t>13180027</t>
  </si>
  <si>
    <t>米热依古丽·阿那尔</t>
  </si>
  <si>
    <t>653102018110102806</t>
  </si>
  <si>
    <t>230102018110202044</t>
  </si>
  <si>
    <t>653202018110302088</t>
  </si>
  <si>
    <t>墨玉县阿卜杜热伊木手机销售部</t>
  </si>
  <si>
    <t>610102018110302383</t>
  </si>
  <si>
    <t>469002018110401286</t>
  </si>
  <si>
    <t>652302018110300834</t>
  </si>
  <si>
    <t>650102018110203059</t>
  </si>
  <si>
    <t>天山区中山路鑫德诚通讯产品经销部</t>
  </si>
  <si>
    <t>654202018110203327</t>
  </si>
  <si>
    <t>522702018110403914</t>
  </si>
  <si>
    <t>653102018110402080</t>
  </si>
  <si>
    <t>01020020</t>
  </si>
  <si>
    <t>阿卜杜萨拉木·阿卜来提</t>
  </si>
  <si>
    <t>16250074</t>
  </si>
  <si>
    <t>帕衣热·艾尔肯</t>
  </si>
  <si>
    <t>522702018110103669</t>
  </si>
  <si>
    <t>653102018110103776</t>
  </si>
  <si>
    <t>460002018110102092</t>
  </si>
  <si>
    <t>653102018110103285</t>
  </si>
  <si>
    <t>653102018110201887</t>
  </si>
  <si>
    <t>520102018110302756</t>
  </si>
  <si>
    <t>650202018110302689</t>
  </si>
  <si>
    <t>个体户张丽丽</t>
  </si>
  <si>
    <t>26240380</t>
  </si>
  <si>
    <t>赵晓燕</t>
  </si>
  <si>
    <t>522402018110103530</t>
  </si>
  <si>
    <t>同心路浩洋店</t>
  </si>
  <si>
    <t>653202018110103691</t>
  </si>
  <si>
    <t>25250277</t>
  </si>
  <si>
    <t>520102018110302734</t>
  </si>
  <si>
    <t>二桥立马车行</t>
  </si>
  <si>
    <t>150802018110102765</t>
  </si>
  <si>
    <t>653102018110202004</t>
  </si>
  <si>
    <t>喀什市楚涵手机店</t>
  </si>
  <si>
    <t>650102018110302497</t>
  </si>
  <si>
    <t>乌鲁木齐潮客电子商务有限公司-唐山路栾征OPPO店</t>
  </si>
  <si>
    <t>520102018110302078</t>
  </si>
  <si>
    <t>南明2区张明志店</t>
  </si>
  <si>
    <t>16250005</t>
  </si>
  <si>
    <t>彭永强</t>
  </si>
  <si>
    <t>520102018110403544</t>
  </si>
  <si>
    <t>26260171</t>
  </si>
  <si>
    <t>赵志兴</t>
  </si>
  <si>
    <t>652902018110403606</t>
  </si>
  <si>
    <t>230602018110100900</t>
  </si>
  <si>
    <t>654202018110403511</t>
  </si>
  <si>
    <t>652302018110401740</t>
  </si>
  <si>
    <t>乌鲁木齐潮客电子商务有限公司-呼图壁玉杰通讯</t>
  </si>
  <si>
    <t>23100199</t>
  </si>
  <si>
    <t>王建振</t>
  </si>
  <si>
    <t>652902018110402376</t>
  </si>
  <si>
    <t>522402018110302749</t>
  </si>
  <si>
    <t>织金县城关黔大通讯二店</t>
  </si>
  <si>
    <t>530102018110402741</t>
  </si>
  <si>
    <t>23130090</t>
  </si>
  <si>
    <t>吴敏慧</t>
  </si>
  <si>
    <t>520102018110203284</t>
  </si>
  <si>
    <t>654002018110201698</t>
  </si>
  <si>
    <t>653102018110301998</t>
  </si>
  <si>
    <t>520402018110402506</t>
  </si>
  <si>
    <t>虹机厂腾飞</t>
  </si>
  <si>
    <t>23040102</t>
  </si>
  <si>
    <t>吴德港</t>
  </si>
  <si>
    <t>522702018110403057</t>
  </si>
  <si>
    <t>三都水族自治县宏源商贸有限公司</t>
  </si>
  <si>
    <t>520102018110403072</t>
  </si>
  <si>
    <t>小河区罗东</t>
  </si>
  <si>
    <t>522602018110403272</t>
  </si>
  <si>
    <t>台江县云凡通讯一分店</t>
  </si>
  <si>
    <t>231202018110401639</t>
  </si>
  <si>
    <t>520102018110403778</t>
  </si>
  <si>
    <t>贵州鑫乾丰贸易有限公司-鑫乾丰店</t>
  </si>
  <si>
    <t>04080066</t>
  </si>
  <si>
    <t>董辉成</t>
  </si>
  <si>
    <t>654002018110302221</t>
  </si>
  <si>
    <t>520102018110301472</t>
  </si>
  <si>
    <t>南明一区李世清</t>
  </si>
  <si>
    <t>23240219</t>
  </si>
  <si>
    <t>汪小丽</t>
  </si>
  <si>
    <t>520102018110103817</t>
  </si>
  <si>
    <t>南明2区刘春店</t>
  </si>
  <si>
    <t>522602018110203087</t>
  </si>
  <si>
    <t>650102018110403484</t>
  </si>
  <si>
    <t>654002018110402618</t>
  </si>
  <si>
    <t>伊宁市世纪翼享手机通讯店</t>
  </si>
  <si>
    <t>08170107</t>
  </si>
  <si>
    <t>洪其婷</t>
  </si>
  <si>
    <t>520202018110102451</t>
  </si>
  <si>
    <t>诚信通讯店</t>
  </si>
  <si>
    <t>530502018110603350</t>
  </si>
  <si>
    <t>653102018110601244</t>
  </si>
  <si>
    <t>460102018110603258</t>
  </si>
  <si>
    <t>联拓-八一店</t>
  </si>
  <si>
    <t>460002018110600984</t>
  </si>
  <si>
    <t>澄迈金江清宇台铃电动车商场</t>
  </si>
  <si>
    <t>24240124</t>
  </si>
  <si>
    <t>徐小新</t>
  </si>
  <si>
    <t>520202018110602685</t>
  </si>
  <si>
    <t>钟山区水西路辉诚通讯经营部-水西路辉诚通讯经营部</t>
  </si>
  <si>
    <t>19250136</t>
  </si>
  <si>
    <t>苏瑶</t>
  </si>
  <si>
    <t>520202018110601292</t>
  </si>
  <si>
    <t>610102018110603533</t>
  </si>
  <si>
    <t>个体户高小成团结村手机批发2店</t>
  </si>
  <si>
    <t>520102018110701137</t>
  </si>
  <si>
    <t>南明2区邱立红店</t>
  </si>
  <si>
    <t>652802018110702319</t>
  </si>
  <si>
    <t>轮台县买买提江阿吾提电动车行</t>
  </si>
  <si>
    <t>522702018110502605</t>
  </si>
  <si>
    <t>福泉市迅捷通讯</t>
  </si>
  <si>
    <t>25190125</t>
  </si>
  <si>
    <t>杨时红</t>
  </si>
  <si>
    <t>620102018110403984</t>
  </si>
  <si>
    <t>522702018110700937</t>
  </si>
  <si>
    <t>福泉市万丰通讯</t>
  </si>
  <si>
    <t>522402018110302217</t>
  </si>
  <si>
    <t>威宁县六桥街道伟胜车行</t>
  </si>
  <si>
    <t>652802018110501070</t>
  </si>
  <si>
    <t>和静县汇丰通讯营业部</t>
  </si>
  <si>
    <t>26020066</t>
  </si>
  <si>
    <t>张宝</t>
  </si>
  <si>
    <t>650102018110603252</t>
  </si>
  <si>
    <t>520102018110703327</t>
  </si>
  <si>
    <t>相宝山X联盟车行</t>
  </si>
  <si>
    <t>07250128</t>
  </si>
  <si>
    <t>甘远鹏</t>
  </si>
  <si>
    <t>652302018110702214</t>
  </si>
  <si>
    <t>乌鲁木齐潮客电子商务有限公司-玛纳斯县华移通讯</t>
  </si>
  <si>
    <t>532602018110702650</t>
  </si>
  <si>
    <t>文山市马氏通讯店</t>
  </si>
  <si>
    <t>25250113</t>
  </si>
  <si>
    <t>晏文永</t>
  </si>
  <si>
    <t>653202018110703507</t>
  </si>
  <si>
    <t>14050014</t>
  </si>
  <si>
    <t>努尔比耶·艾则孜</t>
  </si>
  <si>
    <t>522402018110501138</t>
  </si>
  <si>
    <t>安庆通讯</t>
  </si>
  <si>
    <t>530602018110100665</t>
  </si>
  <si>
    <t>祥翼手机城总店</t>
  </si>
  <si>
    <t>650102018110103703</t>
  </si>
  <si>
    <t>522202018110402993</t>
  </si>
  <si>
    <t>印江自治县鸿兴摩托车行</t>
  </si>
  <si>
    <t>12230127</t>
  </si>
  <si>
    <t>刘旺</t>
  </si>
  <si>
    <t>522202018110301115</t>
  </si>
  <si>
    <t>诚诚通讯</t>
  </si>
  <si>
    <t>653102018110603469</t>
  </si>
  <si>
    <t>北斗谢光智店</t>
  </si>
  <si>
    <t>522702018110702170</t>
  </si>
  <si>
    <t>520102018110501388</t>
  </si>
  <si>
    <t>520102018110503033</t>
  </si>
  <si>
    <t>南明一区杨国峰</t>
  </si>
  <si>
    <t>653102018110403726</t>
  </si>
  <si>
    <t>654002018110501238</t>
  </si>
  <si>
    <t>520402018110502025</t>
  </si>
  <si>
    <t>540102018110503014</t>
  </si>
  <si>
    <t>522702018110601543</t>
  </si>
  <si>
    <t>650102018110602476</t>
  </si>
  <si>
    <t>乌鲁木齐潮客电子商务有限公司-新市区唐山路东社区周克松通讯店</t>
  </si>
  <si>
    <t>522702018110702350</t>
  </si>
  <si>
    <t>610102018110500825</t>
  </si>
  <si>
    <t>522702018110402557</t>
  </si>
  <si>
    <t>654302018110501173</t>
  </si>
  <si>
    <t>23100302</t>
  </si>
  <si>
    <t>王娇</t>
  </si>
  <si>
    <t>653102018110502223</t>
  </si>
  <si>
    <t>652902018110702085</t>
  </si>
  <si>
    <t>522402018110502080</t>
  </si>
  <si>
    <t>威宁县成功通讯</t>
  </si>
  <si>
    <t>522702018110502340</t>
  </si>
  <si>
    <t>大众通讯城</t>
  </si>
  <si>
    <t>23250354</t>
  </si>
  <si>
    <t>韦有文</t>
  </si>
  <si>
    <t>522702018110701207</t>
  </si>
  <si>
    <t>230202018110702800</t>
  </si>
  <si>
    <t>泰来县华泰旗舰店</t>
  </si>
  <si>
    <t>520102018110502337</t>
  </si>
  <si>
    <t>贵阳市经济开发区小李手机店</t>
  </si>
  <si>
    <t>653102018110502806</t>
  </si>
  <si>
    <t>叶城县宏翔品牌手机专卖-移动地下店</t>
  </si>
  <si>
    <t>04120075</t>
  </si>
  <si>
    <t>迪丽努尔·买买提吐尔地</t>
  </si>
  <si>
    <t>650102018110301260</t>
  </si>
  <si>
    <t>乌鲁木齐潮客电子商务有限公司-新市区二工维维通讯王杰店</t>
  </si>
  <si>
    <t>652802018110601106</t>
  </si>
  <si>
    <t>轮台县鸿兴联通营业厅</t>
  </si>
  <si>
    <t>652802018110702375</t>
  </si>
  <si>
    <t>230102018110702664</t>
  </si>
  <si>
    <t>鑫绿佳电动车商店</t>
  </si>
  <si>
    <t>654302018110701115</t>
  </si>
  <si>
    <t>北屯市唐唐通讯店</t>
  </si>
  <si>
    <t>540102018110702696</t>
  </si>
  <si>
    <t>宏凯通信林廓北路营业厅</t>
  </si>
  <si>
    <t>522402018110402677</t>
  </si>
  <si>
    <t>653102018110302559</t>
  </si>
  <si>
    <t>莎车县欣达通讯</t>
  </si>
  <si>
    <t>650102018110601735</t>
  </si>
  <si>
    <t>654002018110601166</t>
  </si>
  <si>
    <t>奎屯盛赢通讯器材店-盛赢通讯店</t>
  </si>
  <si>
    <t>610102018110701257</t>
  </si>
  <si>
    <t>654202018110701739</t>
  </si>
  <si>
    <t>额敏县永进通讯店</t>
  </si>
  <si>
    <t>520402018110703125</t>
  </si>
  <si>
    <t>522702018110402985</t>
  </si>
  <si>
    <t>522702018110600832</t>
  </si>
  <si>
    <t>龙里县力帆摩托车</t>
  </si>
  <si>
    <t>522402018110701114</t>
  </si>
  <si>
    <t>个体户董金才</t>
  </si>
  <si>
    <t>520102018110702039</t>
  </si>
  <si>
    <t>花溪个体户-陈应淑</t>
  </si>
  <si>
    <t>654002018110702121</t>
  </si>
  <si>
    <t>新信电至尊店</t>
  </si>
  <si>
    <t>522602018110403378</t>
  </si>
  <si>
    <t>653102018110601418</t>
  </si>
  <si>
    <t>650102018110603179</t>
  </si>
  <si>
    <t>乌鲁木齐潮客电子商务有限公司-南湖兽医站邢丽宏店</t>
  </si>
  <si>
    <t>654302018110602517</t>
  </si>
  <si>
    <t>福海县捷讯通讯</t>
  </si>
  <si>
    <t>19120106</t>
  </si>
  <si>
    <t>宋龙杰</t>
  </si>
  <si>
    <t>652102018110602455</t>
  </si>
  <si>
    <t>高昌区德盈通讯部</t>
  </si>
  <si>
    <t>13170018</t>
  </si>
  <si>
    <t>马泉</t>
  </si>
  <si>
    <t>650102018110702787</t>
  </si>
  <si>
    <t>522402018110501171</t>
  </si>
  <si>
    <t>威宁县万喜通手机超市</t>
  </si>
  <si>
    <t>460102018110401355</t>
  </si>
  <si>
    <t>海口秀英禹智汇通讯商行</t>
  </si>
  <si>
    <t>03080097</t>
  </si>
  <si>
    <t>陈惠霞</t>
  </si>
  <si>
    <t>520102018110601276</t>
  </si>
  <si>
    <t>小河区谢后仁</t>
  </si>
  <si>
    <t>520202018110801514</t>
  </si>
  <si>
    <t>650102018110801993</t>
  </si>
  <si>
    <t>622902018110401943</t>
  </si>
  <si>
    <t>临夏市天天通讯</t>
  </si>
  <si>
    <t>522702018110403545</t>
  </si>
  <si>
    <t>654002018110403279</t>
  </si>
  <si>
    <t>特克斯县博翼通讯店</t>
  </si>
  <si>
    <t>12200161</t>
  </si>
  <si>
    <t>李婷</t>
  </si>
  <si>
    <t>650102018110502928</t>
  </si>
  <si>
    <t>532602018110600711</t>
  </si>
  <si>
    <t>文山市远望手机经营部</t>
  </si>
  <si>
    <t>522402018110702898</t>
  </si>
  <si>
    <t>七星关区东站联通自有营业厅</t>
  </si>
  <si>
    <t>26030176</t>
  </si>
  <si>
    <t>朱采霞</t>
  </si>
  <si>
    <t>653102018110501377</t>
  </si>
  <si>
    <t>莎车县湘南通讯经销店</t>
  </si>
  <si>
    <t>14050005</t>
  </si>
  <si>
    <t>努尔墩·吐尔洪</t>
  </si>
  <si>
    <t>653102018110602490</t>
  </si>
  <si>
    <t>654302018110602661</t>
  </si>
  <si>
    <t>652102018110703496</t>
  </si>
  <si>
    <t>10070008</t>
  </si>
  <si>
    <t>金刚</t>
  </si>
  <si>
    <t>522402018110600962</t>
  </si>
  <si>
    <t>金沙县浩鑫联通营业厅-浩鑫通讯营业厅</t>
  </si>
  <si>
    <t>522702018110603281</t>
  </si>
  <si>
    <t>平塘县克度镇同心手机店</t>
  </si>
  <si>
    <t>653102018110403933</t>
  </si>
  <si>
    <t>652102018110602148</t>
  </si>
  <si>
    <t>鄯善县正扬通讯店</t>
  </si>
  <si>
    <t>522402018110600892</t>
  </si>
  <si>
    <t>652102018110703037</t>
  </si>
  <si>
    <t>653102018110801843</t>
  </si>
  <si>
    <t>653202018110502393</t>
  </si>
  <si>
    <t>540102018110402210</t>
  </si>
  <si>
    <t>522302018110501134</t>
  </si>
  <si>
    <t>个体户任泽远</t>
  </si>
  <si>
    <t>23260145</t>
  </si>
  <si>
    <t>王志保</t>
  </si>
  <si>
    <t>653102018110801559</t>
  </si>
  <si>
    <t>522402018110900935</t>
  </si>
  <si>
    <t>织金县高科通讯经营部</t>
  </si>
  <si>
    <t>522402018110904079</t>
  </si>
  <si>
    <t>金沙县飞天通讯店-长安路飞天通讯店</t>
  </si>
  <si>
    <t>25260081</t>
  </si>
  <si>
    <t>余紫娇</t>
  </si>
  <si>
    <t>460102018110901961</t>
  </si>
  <si>
    <t>海口龙华符来杨电动车行</t>
  </si>
  <si>
    <t>520202018110902840</t>
  </si>
  <si>
    <t>六盘水湘黔吉马电动车销售有限公司</t>
  </si>
  <si>
    <t>522702018111000892</t>
  </si>
  <si>
    <t>150802018110202873</t>
  </si>
  <si>
    <t>530502018110202697</t>
  </si>
  <si>
    <t>540102018110902189</t>
  </si>
  <si>
    <t>460102018110903585</t>
  </si>
  <si>
    <t>海口龙华陈冠平电动车销售部</t>
  </si>
  <si>
    <t>650102018110903590</t>
  </si>
  <si>
    <t>天山区大湾北路鑫鑫通讯设备销售店</t>
  </si>
  <si>
    <t>654002018110202754</t>
  </si>
  <si>
    <t>650102018110502532</t>
  </si>
  <si>
    <t>230602018111001325</t>
  </si>
  <si>
    <t>大庆市大同区翼腾手机店</t>
  </si>
  <si>
    <t>653202018110201671</t>
  </si>
  <si>
    <t>和田市宏景通讯店2店</t>
  </si>
  <si>
    <t>04250119</t>
  </si>
  <si>
    <t>杜亚洋</t>
  </si>
  <si>
    <t>620102018110802531</t>
  </si>
  <si>
    <t>西固区新卓越通讯店</t>
  </si>
  <si>
    <t>530102018110901135</t>
  </si>
  <si>
    <t>昆明市官渡区长儒通信器材经营部</t>
  </si>
  <si>
    <t>25100211</t>
  </si>
  <si>
    <t>杨娟</t>
  </si>
  <si>
    <t>520102018110903316</t>
  </si>
  <si>
    <t>云岩区煤矿村黄三荣</t>
  </si>
  <si>
    <t>12180096</t>
  </si>
  <si>
    <t>李荣才</t>
  </si>
  <si>
    <t>654002018110901207</t>
  </si>
  <si>
    <t>霍城县天驰联通代办店-天驰联通店</t>
  </si>
  <si>
    <t>654202018110904023</t>
  </si>
  <si>
    <t>520402018110900746</t>
  </si>
  <si>
    <t>522702018110800868</t>
  </si>
  <si>
    <t>530502018110803006</t>
  </si>
  <si>
    <t>650102018110900743</t>
  </si>
  <si>
    <t>乌鲁木齐市米东区欣扬帆电子</t>
  </si>
  <si>
    <t>650102018110904351</t>
  </si>
  <si>
    <t>李晓波店</t>
  </si>
  <si>
    <t>460002018110900479</t>
  </si>
  <si>
    <t>陵水椰林北斗鸿业手机专卖店</t>
  </si>
  <si>
    <t>230502018110900493</t>
  </si>
  <si>
    <t>520102018110903826</t>
  </si>
  <si>
    <t>海大电讯世纪城店</t>
  </si>
  <si>
    <t>460102018111002593</t>
  </si>
  <si>
    <t>海口美兰春杏手机店</t>
  </si>
  <si>
    <t>520102018110802484</t>
  </si>
  <si>
    <t>观山湖狗场嗷翔通讯个体户黄启敏</t>
  </si>
  <si>
    <t>653102018110904474</t>
  </si>
  <si>
    <t>653202018110904240</t>
  </si>
  <si>
    <t>18260029</t>
  </si>
  <si>
    <t>茹则古丽·努尔麦麦提</t>
  </si>
  <si>
    <t>653102018110503125</t>
  </si>
  <si>
    <t>岳普湖县努尔艾拉电动车销售店</t>
  </si>
  <si>
    <t>652302018110801730</t>
  </si>
  <si>
    <t>乌鲁木齐潮客电子商务有限公司-玛纳斯县豪利民手机大卖场</t>
  </si>
  <si>
    <t>520102018110902649</t>
  </si>
  <si>
    <t>乌当个体户韦秀</t>
  </si>
  <si>
    <t>230502018111001926</t>
  </si>
  <si>
    <t>522402018111003040</t>
  </si>
  <si>
    <t>620102018110203389</t>
  </si>
  <si>
    <t>城关区雁滩新天宝手机维修部</t>
  </si>
  <si>
    <t>653102018110202116</t>
  </si>
  <si>
    <t>654302018110903382</t>
  </si>
  <si>
    <t>阿勒泰市宏达电器</t>
  </si>
  <si>
    <t>530102018111001260</t>
  </si>
  <si>
    <t>昆明市西山区花明电动自行车经营部</t>
  </si>
  <si>
    <t>653202018111002034</t>
  </si>
  <si>
    <t>和田市万达通讯店万宝店</t>
  </si>
  <si>
    <t>653102018110803614</t>
  </si>
  <si>
    <t>610102018110900704</t>
  </si>
  <si>
    <t>522402018111003252</t>
  </si>
  <si>
    <t>贵州茂华盛科技有限公司-织金县玉屏街茂华盛手机店</t>
  </si>
  <si>
    <t>12170239</t>
  </si>
  <si>
    <t>李启兰</t>
  </si>
  <si>
    <t>610102018111002725</t>
  </si>
  <si>
    <t>411402018110902095</t>
  </si>
  <si>
    <t>永城市东城区爱华电动车销售部</t>
  </si>
  <si>
    <t>653202018110202698</t>
  </si>
  <si>
    <t>于田县祥隆电动车销售部</t>
  </si>
  <si>
    <t>522402018110801794</t>
  </si>
  <si>
    <t>650102018110803571</t>
  </si>
  <si>
    <t>520402018110902176</t>
  </si>
  <si>
    <t>安顺市西秀区新鸿运手机超市-新红日手机超市</t>
  </si>
  <si>
    <t>530102018110902466</t>
  </si>
  <si>
    <t>建设摩托</t>
  </si>
  <si>
    <t>520102018110803713</t>
  </si>
  <si>
    <t>南明一区华军连锁</t>
  </si>
  <si>
    <t>231202018110801442</t>
  </si>
  <si>
    <t>231202018110902523</t>
  </si>
  <si>
    <t>光线手机卖场</t>
  </si>
  <si>
    <t>469002018111001149</t>
  </si>
  <si>
    <t>万宁礼纪燕晖联通专营店</t>
  </si>
  <si>
    <t>23030128</t>
  </si>
  <si>
    <t>吴彩仪</t>
  </si>
  <si>
    <t>540102018111001306</t>
  </si>
  <si>
    <t>150802018110200960</t>
  </si>
  <si>
    <t>12250198</t>
  </si>
  <si>
    <t>刘于欣</t>
  </si>
  <si>
    <t>652902018110802588</t>
  </si>
  <si>
    <t>653102018111003280</t>
  </si>
  <si>
    <t>宏景通讯疏附县营业厅</t>
  </si>
  <si>
    <t>522202018111001787</t>
  </si>
  <si>
    <t>张峰手机店</t>
  </si>
  <si>
    <t>653102018111001319</t>
  </si>
  <si>
    <t>522402018111000419</t>
  </si>
  <si>
    <t>个体户丁一锋</t>
  </si>
  <si>
    <t>522402018111001627</t>
  </si>
  <si>
    <t>织金县中网通讯经营部</t>
  </si>
  <si>
    <t>650102018111003244</t>
  </si>
  <si>
    <t>653202018110203172</t>
  </si>
  <si>
    <t>和田市天客隆通讯商行</t>
  </si>
  <si>
    <t>540102018110802473</t>
  </si>
  <si>
    <t>610102018110802944</t>
  </si>
  <si>
    <t>652902018110903187</t>
  </si>
  <si>
    <t>653002018110902730</t>
  </si>
  <si>
    <t>654302018111002325</t>
  </si>
  <si>
    <t>杨青青（柜台）</t>
  </si>
  <si>
    <t>653102018111003378</t>
  </si>
  <si>
    <t>13190050</t>
  </si>
  <si>
    <t>麦斯迪古丽·艾麦提</t>
  </si>
  <si>
    <t>520102018111003281</t>
  </si>
  <si>
    <t>653102018110802620</t>
  </si>
  <si>
    <t>伽师县布拉克手机卖场二店</t>
  </si>
  <si>
    <t>610102018110803267</t>
  </si>
  <si>
    <t>西安市雁塔区杨增茂通讯服务部</t>
  </si>
  <si>
    <t>12120062</t>
  </si>
  <si>
    <t>李龙</t>
  </si>
  <si>
    <t>650102018110902843</t>
  </si>
  <si>
    <t>650102018110903874</t>
  </si>
  <si>
    <t>天山区解放南路穆萨江通讯器材店</t>
  </si>
  <si>
    <t>650102018111102181</t>
  </si>
  <si>
    <t>天山区中山路贾亮亮通讯产品经销部</t>
  </si>
  <si>
    <t>25200079</t>
  </si>
  <si>
    <t>闫婷</t>
  </si>
  <si>
    <t>653102018110802683</t>
  </si>
  <si>
    <t>莎车县友佳电信业务代办店</t>
  </si>
  <si>
    <t>652902018110901539</t>
  </si>
  <si>
    <t>520102018110800996</t>
  </si>
  <si>
    <t>654002018111002320</t>
  </si>
  <si>
    <t>650102018110803561</t>
  </si>
  <si>
    <t>654202018111201295</t>
  </si>
  <si>
    <t>乌苏市吉祥鸟通讯</t>
  </si>
  <si>
    <t>12250396</t>
  </si>
  <si>
    <t>雷勇</t>
  </si>
  <si>
    <t>653202018111203633</t>
  </si>
  <si>
    <t>策勒县伊木然通讯店</t>
  </si>
  <si>
    <t>08240214</t>
  </si>
  <si>
    <t>胡西塔尔·毛来买提</t>
  </si>
  <si>
    <t>652902018111303462</t>
  </si>
  <si>
    <t>新和县宏景通讯新和连锁指定专营店</t>
  </si>
  <si>
    <t>460002018111303254</t>
  </si>
  <si>
    <t>志远手机卖场</t>
  </si>
  <si>
    <t>622902018111302565</t>
  </si>
  <si>
    <t>652302018111302047</t>
  </si>
  <si>
    <t>652902018111303039</t>
  </si>
  <si>
    <t>610102018111400766</t>
  </si>
  <si>
    <t>麦威车行</t>
  </si>
  <si>
    <t>25020018</t>
  </si>
  <si>
    <t>原博</t>
  </si>
  <si>
    <t>652102018111403754</t>
  </si>
  <si>
    <t>高昌区红福通讯店</t>
  </si>
  <si>
    <t>520102018111401721</t>
  </si>
  <si>
    <t>中南厅</t>
  </si>
  <si>
    <t>04080071</t>
  </si>
  <si>
    <t>董瀚聪</t>
  </si>
  <si>
    <t>522702018111403944</t>
  </si>
  <si>
    <t>独山县江宏通迅店</t>
  </si>
  <si>
    <t>652202018111201110</t>
  </si>
  <si>
    <t>26140033</t>
  </si>
  <si>
    <t>张宁宁</t>
  </si>
  <si>
    <t>411602018111202855</t>
  </si>
  <si>
    <t>23080210</t>
  </si>
  <si>
    <t>王海霞</t>
  </si>
  <si>
    <t>653102018111204017</t>
  </si>
  <si>
    <t>653202018111202544</t>
  </si>
  <si>
    <t>于田县北斗通讯设备零售店</t>
  </si>
  <si>
    <t>540102018111201909</t>
  </si>
  <si>
    <t>652902018111201601</t>
  </si>
  <si>
    <t>653102018111302433</t>
  </si>
  <si>
    <t>653102018111302117</t>
  </si>
  <si>
    <t>03020034</t>
  </si>
  <si>
    <t>陈贝贝</t>
  </si>
  <si>
    <t>653102018111301079</t>
  </si>
  <si>
    <t>520402018111202586</t>
  </si>
  <si>
    <t>迅达科技林云龙</t>
  </si>
  <si>
    <t>522402018111201045</t>
  </si>
  <si>
    <t>老虎车行</t>
  </si>
  <si>
    <t>653202018111302154</t>
  </si>
  <si>
    <t>洛普县领航通讯3号店</t>
  </si>
  <si>
    <t>654002018111403812</t>
  </si>
  <si>
    <t>伊宁市彭朝阳回收科技服务中心</t>
  </si>
  <si>
    <t>520102018111502221</t>
  </si>
  <si>
    <t>泰立通讯瑞金店</t>
  </si>
  <si>
    <t>23100241</t>
  </si>
  <si>
    <t>文军</t>
  </si>
  <si>
    <t>653102018111503121</t>
  </si>
  <si>
    <t>英吉沙县新盛通讯</t>
  </si>
  <si>
    <t>522702018111503754</t>
  </si>
  <si>
    <t>652902018111203254</t>
  </si>
  <si>
    <t>522702018111302760</t>
  </si>
  <si>
    <t>654302018111302821</t>
  </si>
  <si>
    <t>650202018111502089</t>
  </si>
  <si>
    <t>克拉玛依区小孙电动车经销部</t>
  </si>
  <si>
    <t>20120072</t>
  </si>
  <si>
    <t>田琳琳</t>
  </si>
  <si>
    <t>653102018111502323</t>
  </si>
  <si>
    <t>19230053</t>
  </si>
  <si>
    <t>萨吾提卡热·努尔麦麦提</t>
  </si>
  <si>
    <t>652302018111501697</t>
  </si>
  <si>
    <t>乌鲁木齐潮客电子商务有限公司-昌吉市进超通讯店</t>
  </si>
  <si>
    <t>653002018111202888</t>
  </si>
  <si>
    <t>10070011</t>
  </si>
  <si>
    <t>金国强</t>
  </si>
  <si>
    <t>654002018111303222</t>
  </si>
  <si>
    <t>霍城县聚一友移动通讯专营店</t>
  </si>
  <si>
    <t>522402018111302733</t>
  </si>
  <si>
    <t>名人店</t>
  </si>
  <si>
    <t>460102018111400968</t>
  </si>
  <si>
    <t>海口秀英言之成电动自行车行</t>
  </si>
  <si>
    <t>653102018111501705</t>
  </si>
  <si>
    <t>巴楚县阅达三分店</t>
  </si>
  <si>
    <t>520202018111201404</t>
  </si>
  <si>
    <t>红果玖玖通讯-99手机店</t>
  </si>
  <si>
    <t>653202018111203734</t>
  </si>
  <si>
    <t>654002018111301904</t>
  </si>
  <si>
    <t>652902018111301125</t>
  </si>
  <si>
    <t>520402018111403442</t>
  </si>
  <si>
    <t>安顺市鑫荣达商贸有限公司</t>
  </si>
  <si>
    <t>520102018111201654</t>
  </si>
  <si>
    <t>522402018111202786</t>
  </si>
  <si>
    <t>金阳通讯</t>
  </si>
  <si>
    <t>520102018111202952</t>
  </si>
  <si>
    <t>653102018111503512</t>
  </si>
  <si>
    <t>654002018111401999</t>
  </si>
  <si>
    <t>伊宁县傲博通讯部</t>
  </si>
  <si>
    <t>02240036</t>
  </si>
  <si>
    <t>包祥</t>
  </si>
  <si>
    <t>654202018111403805</t>
  </si>
  <si>
    <t>托里县新百顺电器</t>
  </si>
  <si>
    <t>620102018111403061</t>
  </si>
  <si>
    <t>榆中远通数码通讯部</t>
  </si>
  <si>
    <t>530102018111201262</t>
  </si>
  <si>
    <t>26060077</t>
  </si>
  <si>
    <t>周方晴</t>
  </si>
  <si>
    <t>532602018111301015</t>
  </si>
  <si>
    <t>文山市阳升通讯店</t>
  </si>
  <si>
    <t>230102018111502153</t>
  </si>
  <si>
    <t>乡政</t>
  </si>
  <si>
    <t>26080278</t>
  </si>
  <si>
    <t>张韩</t>
  </si>
  <si>
    <t>653202018111502600</t>
  </si>
  <si>
    <t>墨玉县图尔荪江手机销售店</t>
  </si>
  <si>
    <t>26120386</t>
  </si>
  <si>
    <t>祖丽图玛·艾合麦提尼亚孜</t>
  </si>
  <si>
    <t>231202018111500434</t>
  </si>
  <si>
    <t>650102018111403580</t>
  </si>
  <si>
    <t>天山区中山路尚品果园电子产品经销部</t>
  </si>
  <si>
    <t>23080224</t>
  </si>
  <si>
    <t>闻浩</t>
  </si>
  <si>
    <t>230602018111200709</t>
  </si>
  <si>
    <t>杜尔伯特蒙古族自治县赵雷通讯</t>
  </si>
  <si>
    <t>652902018111201378</t>
  </si>
  <si>
    <t>653102018111303131</t>
  </si>
  <si>
    <t>150802018111402548</t>
  </si>
  <si>
    <t>特别6</t>
  </si>
  <si>
    <t>522702018111502836</t>
  </si>
  <si>
    <t>659002018111503100</t>
  </si>
  <si>
    <t>石河子市金至尊手机卖场-VIVO分店</t>
  </si>
  <si>
    <t>530502018111400634</t>
  </si>
  <si>
    <t>25130097</t>
  </si>
  <si>
    <t>杨买菊</t>
  </si>
  <si>
    <t>653102018111202184</t>
  </si>
  <si>
    <t>25020081</t>
  </si>
  <si>
    <t>杨彬</t>
  </si>
  <si>
    <t>653202018111203039</t>
  </si>
  <si>
    <t>653102018111403736</t>
  </si>
  <si>
    <t>07120108</t>
  </si>
  <si>
    <t>古丽尼萨·吐尔孙尼牙则</t>
  </si>
  <si>
    <t>460102018111500605</t>
  </si>
  <si>
    <t>联拓-龙昆南店</t>
  </si>
  <si>
    <t>654302018111501491</t>
  </si>
  <si>
    <t>富蕴县金鑫源通讯</t>
  </si>
  <si>
    <t>24050004</t>
  </si>
  <si>
    <t>西尔力·买买提依明</t>
  </si>
  <si>
    <t>520102018111502729</t>
  </si>
  <si>
    <t>南明一区皮兴国</t>
  </si>
  <si>
    <t>520402018111200731</t>
  </si>
  <si>
    <t>520402018111200968</t>
  </si>
  <si>
    <t>520102018111203458</t>
  </si>
  <si>
    <t>南明2区董云店</t>
  </si>
  <si>
    <t>653102018111301189</t>
  </si>
  <si>
    <t>巴楚县佳和手机销售店</t>
  </si>
  <si>
    <t>01020019</t>
  </si>
  <si>
    <t>阿布都拉·艾海提</t>
  </si>
  <si>
    <t>652302018111503309</t>
  </si>
  <si>
    <t>乌鲁木齐潮客电子商务有限公司-木垒万通通讯</t>
  </si>
  <si>
    <t>653102018111501775</t>
  </si>
  <si>
    <t>13040028</t>
  </si>
  <si>
    <t>马雕</t>
  </si>
  <si>
    <t>653102018111403739</t>
  </si>
  <si>
    <t>230202018111400862</t>
  </si>
  <si>
    <t>泰来县迦南手机卖场</t>
  </si>
  <si>
    <t>530602018111203102</t>
  </si>
  <si>
    <t>610102018111201156</t>
  </si>
  <si>
    <t>650102018111503104</t>
  </si>
  <si>
    <t>654002018111203252</t>
  </si>
  <si>
    <t>654002018111202421</t>
  </si>
  <si>
    <t>530102018111401912</t>
  </si>
  <si>
    <t>官渡区西辰通讯器材经营部</t>
  </si>
  <si>
    <t>150802018111200897</t>
  </si>
  <si>
    <t>231202018111200965</t>
  </si>
  <si>
    <t>铁峰通讯</t>
  </si>
  <si>
    <t>150802018111201466</t>
  </si>
  <si>
    <t>652802018111401325</t>
  </si>
  <si>
    <t>库尔勒欧维通讯营业厅</t>
  </si>
  <si>
    <t>23250514</t>
  </si>
  <si>
    <t>吴艳琴</t>
  </si>
  <si>
    <t>522702018111503321</t>
  </si>
  <si>
    <t>520102018111503563</t>
  </si>
  <si>
    <t>云岩区大营坡颜果店</t>
  </si>
  <si>
    <t>652302018111203047</t>
  </si>
  <si>
    <t>乌鲁木齐潮客电子商务有限公司-昌吉市网讯通讯店</t>
  </si>
  <si>
    <t>13160014</t>
  </si>
  <si>
    <t>马朋朋</t>
  </si>
  <si>
    <t>653102018111203062</t>
  </si>
  <si>
    <t>653102018111203820</t>
  </si>
  <si>
    <t>喀什市步行街联通店</t>
  </si>
  <si>
    <t>230102018111302371</t>
  </si>
  <si>
    <t>金国通手机卖场</t>
  </si>
  <si>
    <t>522302018111301946</t>
  </si>
  <si>
    <t>654002018111501903</t>
  </si>
  <si>
    <t>伊宁市鑫之讯数码科技服务中心</t>
  </si>
  <si>
    <t>652302018111503693</t>
  </si>
  <si>
    <t>昌吉市国讯新店</t>
  </si>
  <si>
    <t>520102018111600924</t>
  </si>
  <si>
    <t>贵阳浙商摩豹车行</t>
  </si>
  <si>
    <t>652902018111401243</t>
  </si>
  <si>
    <t>610102018111401035</t>
  </si>
  <si>
    <t>654202018111403598</t>
  </si>
  <si>
    <t>653202018111402550</t>
  </si>
  <si>
    <t>和田市诚心诚意通讯店</t>
  </si>
  <si>
    <t>01040014</t>
  </si>
  <si>
    <t>522702018111402931</t>
  </si>
  <si>
    <t>福泉市百丰手机城</t>
  </si>
  <si>
    <t>522702018111402128</t>
  </si>
  <si>
    <t>贵定县潮极地通讯</t>
  </si>
  <si>
    <t>530502018111401781</t>
  </si>
  <si>
    <t>昌宁县田园镇盛敏通讯店</t>
  </si>
  <si>
    <t>520102018111202851</t>
  </si>
  <si>
    <t>花溪-亚泰学院</t>
  </si>
  <si>
    <t>520402018111202401</t>
  </si>
  <si>
    <t>522402018111302302</t>
  </si>
  <si>
    <t>个体户操礼彪</t>
  </si>
  <si>
    <t>652302018111303065</t>
  </si>
  <si>
    <t>玛纳斯县新湖总场春晖通讯</t>
  </si>
  <si>
    <t>07060030</t>
  </si>
  <si>
    <t>高芳</t>
  </si>
  <si>
    <t>610102018111301223</t>
  </si>
  <si>
    <t>652302018111502961</t>
  </si>
  <si>
    <t>520102018111503086</t>
  </si>
  <si>
    <t>观山湖狗场智能手机通讯个体户易礼峰</t>
  </si>
  <si>
    <t>25170108</t>
  </si>
  <si>
    <t>杨青青</t>
  </si>
  <si>
    <t>650102018111503160</t>
  </si>
  <si>
    <t>01050011</t>
  </si>
  <si>
    <t>阿尔孜古力·卡德尔汗</t>
  </si>
  <si>
    <t>150802018111201317</t>
  </si>
  <si>
    <t>650102018111202495</t>
  </si>
  <si>
    <t>沙依巴克区环宇通讯店</t>
  </si>
  <si>
    <t>654202018111201357</t>
  </si>
  <si>
    <t>乌苏市鑫航通讯店</t>
  </si>
  <si>
    <t>23190146</t>
  </si>
  <si>
    <t>王树菊</t>
  </si>
  <si>
    <t>653102018111503165</t>
  </si>
  <si>
    <t>652902018111502680</t>
  </si>
  <si>
    <t>460102018111602944</t>
  </si>
  <si>
    <t>海口普天佳佳通信技术有限公司-海口国贸营业厅</t>
  </si>
  <si>
    <t>650102018111801597</t>
  </si>
  <si>
    <t>622902018111900645</t>
  </si>
  <si>
    <t>西安市高新区兴和电子产品经销部</t>
  </si>
  <si>
    <t>东乡族自治县众益电子商贸有限公司</t>
  </si>
  <si>
    <t>520102018111902646</t>
  </si>
  <si>
    <t>睿星通讯手机店</t>
  </si>
  <si>
    <t>654002018111902086</t>
  </si>
  <si>
    <t>522402018111900452</t>
  </si>
  <si>
    <t>威宁县黑石鑫隆手机销售店</t>
  </si>
  <si>
    <t>12060132</t>
  </si>
  <si>
    <t>李凤转</t>
  </si>
  <si>
    <t>522602018111402913</t>
  </si>
  <si>
    <t>凯里市波通韶北店</t>
  </si>
  <si>
    <t>23030127</t>
  </si>
  <si>
    <t>王承慧</t>
  </si>
  <si>
    <t>652102018111702709</t>
  </si>
  <si>
    <t>鄯善县小麦通讯店</t>
  </si>
  <si>
    <t>653102018111602414</t>
  </si>
  <si>
    <t>150802018111701289</t>
  </si>
  <si>
    <t>巴彦淖尔市远扬通讯店</t>
  </si>
  <si>
    <t>12140043</t>
  </si>
  <si>
    <t>李楠</t>
  </si>
  <si>
    <t>650102018111801557</t>
  </si>
  <si>
    <t>天山区青年路智家联通讯店</t>
  </si>
  <si>
    <t>540102018111801893</t>
  </si>
  <si>
    <t>654002018111802863</t>
  </si>
  <si>
    <t>特克斯县新悦通讯部</t>
  </si>
  <si>
    <t>654002018111803199</t>
  </si>
  <si>
    <t>522402018111801066</t>
  </si>
  <si>
    <t>个体户陈永送</t>
  </si>
  <si>
    <t>653202018111903857</t>
  </si>
  <si>
    <t>460102018111902575</t>
  </si>
  <si>
    <t>520402018111701062</t>
  </si>
  <si>
    <t>平坝县万兴手机店</t>
  </si>
  <si>
    <t>653202018111701432</t>
  </si>
  <si>
    <t>23170151</t>
  </si>
  <si>
    <t>王琪</t>
  </si>
  <si>
    <t>650102018111602004</t>
  </si>
  <si>
    <t>铁路局折小马店</t>
  </si>
  <si>
    <t>653002018111702966</t>
  </si>
  <si>
    <t>520402018111903232</t>
  </si>
  <si>
    <t>520102018111901436</t>
  </si>
  <si>
    <t>610102018111601898</t>
  </si>
  <si>
    <t>460002018111703253</t>
  </si>
  <si>
    <t>飞鑫手机卖场</t>
  </si>
  <si>
    <t>659002018111802666</t>
  </si>
  <si>
    <t>图木舒克市银讯手机店</t>
  </si>
  <si>
    <t>17020011</t>
  </si>
  <si>
    <t>邱宝康</t>
  </si>
  <si>
    <t>653202018111802859</t>
  </si>
  <si>
    <t>于田县艾力手机销售店</t>
  </si>
  <si>
    <t>522402018111801809</t>
  </si>
  <si>
    <t>黔西县黔运酷车联盟销售部</t>
  </si>
  <si>
    <t>652902018111801811</t>
  </si>
  <si>
    <t>沙雅欧珀指营店</t>
  </si>
  <si>
    <t>520202018111902711</t>
  </si>
  <si>
    <t>钟山区鑫焱通讯店</t>
  </si>
  <si>
    <t>26240407</t>
  </si>
  <si>
    <t>张晓娅</t>
  </si>
  <si>
    <t>653102018111902156</t>
  </si>
  <si>
    <t>654002018111902315</t>
  </si>
  <si>
    <t>653102018111903422</t>
  </si>
  <si>
    <t>522402018111900960</t>
  </si>
  <si>
    <t>540102018111302688</t>
  </si>
  <si>
    <t>653102018111302405</t>
  </si>
  <si>
    <t>伽师县好运来通讯</t>
  </si>
  <si>
    <t>01100010</t>
  </si>
  <si>
    <t>艾吉尔古丽·热依木</t>
  </si>
  <si>
    <t>653102018111702997</t>
  </si>
  <si>
    <t>英吉沙县讯辉通讯</t>
  </si>
  <si>
    <t>520402018111803359</t>
  </si>
  <si>
    <t>610102018111901918</t>
  </si>
  <si>
    <t>03100122</t>
  </si>
  <si>
    <t>晁俊柯</t>
  </si>
  <si>
    <t>654002018112001560</t>
  </si>
  <si>
    <t>华润铜锣湾</t>
  </si>
  <si>
    <t>522302018111302351</t>
  </si>
  <si>
    <t>鑫辉通讯</t>
  </si>
  <si>
    <t>653102018111801318</t>
  </si>
  <si>
    <t>652102018111903494</t>
  </si>
  <si>
    <t>653202018111902594</t>
  </si>
  <si>
    <t>653202018112003338</t>
  </si>
  <si>
    <t>04120081</t>
  </si>
  <si>
    <t>迪力夏提·亚森</t>
  </si>
  <si>
    <t>520102018111702847</t>
  </si>
  <si>
    <t>南明一区詹凤</t>
  </si>
  <si>
    <t>653102018111702236</t>
  </si>
  <si>
    <t>喀什市王亚娟手机店</t>
  </si>
  <si>
    <t>231202018111700608</t>
  </si>
  <si>
    <t>肇东市盛世通手机大卖场</t>
  </si>
  <si>
    <t>12120316</t>
  </si>
  <si>
    <t>刘立君</t>
  </si>
  <si>
    <t>522702018111600828</t>
  </si>
  <si>
    <t>都匀市甘塘镇移动手机店</t>
  </si>
  <si>
    <t>23230037</t>
  </si>
  <si>
    <t>王文龙</t>
  </si>
  <si>
    <t>653102018111903528</t>
  </si>
  <si>
    <t>叶城县掌逸通讯</t>
  </si>
  <si>
    <t>14050010</t>
  </si>
  <si>
    <t>努尔姑丽·麦麦提依明</t>
  </si>
  <si>
    <t>530602018111700894</t>
  </si>
  <si>
    <t>652302018111701429</t>
  </si>
  <si>
    <t>乌鲁木齐潮客电子商务有限公司-呼图壁县俊发通讯店</t>
  </si>
  <si>
    <t>460102018111702917</t>
  </si>
  <si>
    <t>海口琼山桂强电动车行</t>
  </si>
  <si>
    <t>653202018111603691</t>
  </si>
  <si>
    <t>策勒县中国电信麦麦提艾力合作营业厅</t>
  </si>
  <si>
    <t>654302018111601739</t>
  </si>
  <si>
    <t>时达电器</t>
  </si>
  <si>
    <t>652902018111602821</t>
  </si>
  <si>
    <t>653102018111302438</t>
  </si>
  <si>
    <t>522702018111300745</t>
  </si>
  <si>
    <t>650102018111802849</t>
  </si>
  <si>
    <t>654002018112003586</t>
  </si>
  <si>
    <t>01040008</t>
  </si>
  <si>
    <t>阿迪兰·达吾尔</t>
  </si>
  <si>
    <t>540102018112003541</t>
  </si>
  <si>
    <t>654302018111701110</t>
  </si>
  <si>
    <t>522402018111703065</t>
  </si>
  <si>
    <t>赫章县龙腾通讯店</t>
  </si>
  <si>
    <t>652802018111302090</t>
  </si>
  <si>
    <t>12100274</t>
  </si>
  <si>
    <t>刘建军</t>
  </si>
  <si>
    <t>520102018111303274</t>
  </si>
  <si>
    <t>南明一区张红</t>
  </si>
  <si>
    <t>522702018111800930</t>
  </si>
  <si>
    <t>龙里县谷脚镇鑫厵移动通讯店</t>
  </si>
  <si>
    <t>夏峰瑞</t>
  </si>
  <si>
    <t>522602018111901107</t>
  </si>
  <si>
    <t>个体户赵松铭</t>
  </si>
  <si>
    <t>653102018111901865</t>
  </si>
  <si>
    <t>653102018111902146</t>
  </si>
  <si>
    <t>652302018112003297</t>
  </si>
  <si>
    <t>460102018111801464</t>
  </si>
  <si>
    <t>陈冠平2店</t>
  </si>
  <si>
    <t>610102018111801644</t>
  </si>
  <si>
    <t>653002018111902017</t>
  </si>
  <si>
    <t>652302018111901094</t>
  </si>
  <si>
    <t>乌鲁木齐潮客电子商务有限公司-奇台万龙通讯</t>
  </si>
  <si>
    <t>652802018112001647</t>
  </si>
  <si>
    <t>522302018112003751</t>
  </si>
  <si>
    <t>522702018111700848</t>
  </si>
  <si>
    <t>532602018111602129</t>
  </si>
  <si>
    <t>文山市智通维修中心</t>
  </si>
  <si>
    <t>520402018111702013</t>
  </si>
  <si>
    <t>圣达秦六三</t>
  </si>
  <si>
    <t>652202018111702492</t>
  </si>
  <si>
    <t>653102018111303208</t>
  </si>
  <si>
    <t>莎车县恰热克镇光明综合商店</t>
  </si>
  <si>
    <t>20050014</t>
  </si>
  <si>
    <t>吐尔洪·吐尔孙</t>
  </si>
  <si>
    <t>652302018111701458</t>
  </si>
  <si>
    <t>16120043</t>
  </si>
  <si>
    <t>帕力旦·阿合买提</t>
  </si>
  <si>
    <t>650102018111702266</t>
  </si>
  <si>
    <t>653102018111603112</t>
  </si>
  <si>
    <t>652902018111602995</t>
  </si>
  <si>
    <t>520102018111701497</t>
  </si>
  <si>
    <t>652202018111802456</t>
  </si>
  <si>
    <t>522402018112003813</t>
  </si>
  <si>
    <t>654202018112001429</t>
  </si>
  <si>
    <t>520402018112001619</t>
  </si>
  <si>
    <t>五星钻豹电动车</t>
  </si>
  <si>
    <t>26100355</t>
  </si>
  <si>
    <t>郑金环</t>
  </si>
  <si>
    <t>460002018111701504</t>
  </si>
  <si>
    <t>陵水椰林北斗联通三通专营店</t>
  </si>
  <si>
    <t>522702018111602198</t>
  </si>
  <si>
    <t>个体户刘毅</t>
  </si>
  <si>
    <t>652302018111602252</t>
  </si>
  <si>
    <t>654002018111701165</t>
  </si>
  <si>
    <t>25250219</t>
  </si>
  <si>
    <t>岳银常</t>
  </si>
  <si>
    <t>653102018111802908</t>
  </si>
  <si>
    <t>653102018111801839</t>
  </si>
  <si>
    <t>520102018112001665</t>
  </si>
  <si>
    <t>永祥联通厅</t>
  </si>
  <si>
    <t>13060013</t>
  </si>
  <si>
    <t>蒙富磊</t>
  </si>
  <si>
    <t>653102018112003092</t>
  </si>
  <si>
    <t>巴楚县阅达通讯二分店</t>
  </si>
  <si>
    <t>653102018112002906</t>
  </si>
  <si>
    <t>泽普县钟拉手机市场</t>
  </si>
  <si>
    <t>01110011</t>
  </si>
  <si>
    <t>艾克拜尔·阿力木</t>
  </si>
  <si>
    <t>522402018112003084</t>
  </si>
  <si>
    <t>个体户李家强</t>
  </si>
  <si>
    <t>622902018112002588</t>
  </si>
  <si>
    <t>520102018111701144</t>
  </si>
  <si>
    <t>轮胎厂大地手机个体户傅佳</t>
  </si>
  <si>
    <t>07100050</t>
  </si>
  <si>
    <t>龚杰</t>
  </si>
  <si>
    <t>522702018111801772</t>
  </si>
  <si>
    <t>都匀市水厂</t>
  </si>
  <si>
    <t>26030015</t>
  </si>
  <si>
    <t>张承磊</t>
  </si>
  <si>
    <t>522702018111802248</t>
  </si>
  <si>
    <t>龙里县诚信通讯&lt;黄立丽》</t>
  </si>
  <si>
    <t>540102018111803030</t>
  </si>
  <si>
    <t>522702018111802077</t>
  </si>
  <si>
    <t>平塘县利华通讯3店</t>
  </si>
  <si>
    <t>25240228</t>
  </si>
  <si>
    <t>杨秀竹</t>
  </si>
  <si>
    <t>652302018112003148</t>
  </si>
  <si>
    <t>木垒县京东帮服务店</t>
  </si>
  <si>
    <t>653002018112003332</t>
  </si>
  <si>
    <t>13130057</t>
  </si>
  <si>
    <t>买买提江·艾买提</t>
  </si>
  <si>
    <t>622902018111801173</t>
  </si>
  <si>
    <t>522702018111901343</t>
  </si>
  <si>
    <t>650102018111903147</t>
  </si>
  <si>
    <t>653102018112101419</t>
  </si>
  <si>
    <t>522702018111402302</t>
  </si>
  <si>
    <t>罗甸县边阳镇惠云通讯</t>
  </si>
  <si>
    <t>469002018111602828</t>
  </si>
  <si>
    <t>文昌文城世胜通讯店</t>
  </si>
  <si>
    <t>230502018111800574</t>
  </si>
  <si>
    <t>宝清县付帅丽手机店</t>
  </si>
  <si>
    <t>653102018112202590</t>
  </si>
  <si>
    <t>520202018112203175</t>
  </si>
  <si>
    <t>653102018112503314</t>
  </si>
  <si>
    <t>653102018112503053</t>
  </si>
  <si>
    <t>540102018112501792</t>
  </si>
  <si>
    <t>西藏新诚信移动通讯严北春店</t>
  </si>
  <si>
    <t>659002018112502482</t>
  </si>
  <si>
    <t>654002018111702927</t>
  </si>
  <si>
    <t>653202018111403902</t>
  </si>
  <si>
    <t>650102018112100570</t>
  </si>
  <si>
    <t>新市区西环北路浩宇通讯设备经销部</t>
  </si>
  <si>
    <t>230602018111600910</t>
  </si>
  <si>
    <t>650102018111902635</t>
  </si>
  <si>
    <t>乌鲁木齐市米东区轩轩通讯</t>
  </si>
  <si>
    <t>26240334</t>
  </si>
  <si>
    <t>张雪红</t>
  </si>
  <si>
    <t>520102018112100503</t>
  </si>
  <si>
    <t>贵阳市经济技术开发区正泰通讯器材经营部</t>
  </si>
  <si>
    <t>654002018111802654</t>
  </si>
  <si>
    <t>昭苏县嘉兴通讯店</t>
  </si>
  <si>
    <t>23260207</t>
  </si>
  <si>
    <t>王智慧</t>
  </si>
  <si>
    <t>520102018111801181</t>
  </si>
  <si>
    <t>231202018112102246</t>
  </si>
  <si>
    <t>海伦市周正明正品手机大卖场</t>
  </si>
  <si>
    <t>540102018112203180</t>
  </si>
  <si>
    <t>锂程王电动车专卖店周炳权店</t>
  </si>
  <si>
    <t>652302018112203222</t>
  </si>
  <si>
    <t>乌鲁木齐潮客电子商务有限公司-昌吉市天怡通讯店</t>
  </si>
  <si>
    <t>520102018112202747</t>
  </si>
  <si>
    <t>贵阳云岩臻时尚通讯设备经营部</t>
  </si>
  <si>
    <t>653202018112202194</t>
  </si>
  <si>
    <t>653102018112501702</t>
  </si>
  <si>
    <t>622902018112502126</t>
  </si>
  <si>
    <t>甘肃省临夏市中国移动邮政厅</t>
  </si>
  <si>
    <t>13080033</t>
  </si>
  <si>
    <t>马哈三</t>
  </si>
  <si>
    <t>652902018112502372</t>
  </si>
  <si>
    <t>530102018112501473</t>
  </si>
  <si>
    <t>昆明市官渡区蔡胜婷通讯器材经营部</t>
  </si>
  <si>
    <t>520102018112502886</t>
  </si>
  <si>
    <t>云岩区敖红梅</t>
  </si>
  <si>
    <t>652802018112103030</t>
  </si>
  <si>
    <t>653102018112103260</t>
  </si>
  <si>
    <t>540102018112203825</t>
  </si>
  <si>
    <t>宇宸通讯</t>
  </si>
  <si>
    <t>522702018112201285</t>
  </si>
  <si>
    <t>652902018112202667</t>
  </si>
  <si>
    <t>653102018112502405</t>
  </si>
  <si>
    <t>19160023</t>
  </si>
  <si>
    <t>苏皮牙木·托合提</t>
  </si>
  <si>
    <t>520402018112202596</t>
  </si>
  <si>
    <t>oppo南华店</t>
  </si>
  <si>
    <t>653102018112201492</t>
  </si>
  <si>
    <t>653102018112202812</t>
  </si>
  <si>
    <t>610102018112202211</t>
  </si>
  <si>
    <t>26260026</t>
  </si>
  <si>
    <t>张子琛</t>
  </si>
  <si>
    <t>522702018112502246</t>
  </si>
  <si>
    <t>650102018112503185</t>
  </si>
  <si>
    <t>620102018112503564</t>
  </si>
  <si>
    <t>城关区雁宁路花园小区雅勒手机配件部</t>
  </si>
  <si>
    <t>620102018112501709</t>
  </si>
  <si>
    <t>653202018112502777</t>
  </si>
  <si>
    <t>和田市华杰商贸有限公司台铃店</t>
  </si>
  <si>
    <t>522702018112500430</t>
  </si>
  <si>
    <t>平塘县塘边镇移动特许营业厅</t>
  </si>
  <si>
    <t>654302018112501660</t>
  </si>
  <si>
    <t>652902018112503152</t>
  </si>
  <si>
    <t>阿克苏市信任手机销售部</t>
  </si>
  <si>
    <t>03260134</t>
  </si>
  <si>
    <t>陈长春</t>
  </si>
  <si>
    <t>653102018112502033</t>
  </si>
  <si>
    <t>莎车县帕提明麦麦提电动车销售店艾力西湖镇4号分店</t>
  </si>
  <si>
    <t>520102018111702012</t>
  </si>
  <si>
    <t>北京西路摩豹电动摩托车</t>
  </si>
  <si>
    <t>522402018112603049</t>
  </si>
  <si>
    <t>19190043</t>
  </si>
  <si>
    <t>石双双</t>
  </si>
  <si>
    <t>653102018112201756</t>
  </si>
  <si>
    <t>530102018112203309</t>
  </si>
  <si>
    <t>昆明市官渡区云川电动车销售部</t>
  </si>
  <si>
    <t>25080139</t>
  </si>
  <si>
    <t>杨宏成</t>
  </si>
  <si>
    <t>653102018112503540</t>
  </si>
  <si>
    <t>650102018112501663</t>
  </si>
  <si>
    <t>530602018112502156</t>
  </si>
  <si>
    <t>654002018112702879</t>
  </si>
  <si>
    <t>巩留县乐惠通讯</t>
  </si>
  <si>
    <t>08250253</t>
  </si>
  <si>
    <t>韩亚平</t>
  </si>
  <si>
    <t>650102018112702813</t>
  </si>
  <si>
    <t>乌鲁木齐潮客电子商务有限公司-头区北站师祥中店</t>
  </si>
  <si>
    <t>522402018112100960</t>
  </si>
  <si>
    <t>黔西县盛世通通讯经营部一店</t>
  </si>
  <si>
    <t>520102018112203095</t>
  </si>
  <si>
    <t>460102018112203610</t>
  </si>
  <si>
    <t>陵水椰林北斗旺旺手机店</t>
  </si>
  <si>
    <t>650102018112202658</t>
  </si>
  <si>
    <t>530102018112503373</t>
  </si>
  <si>
    <t>522702018112502796</t>
  </si>
  <si>
    <t>龙里县百丰手机城</t>
  </si>
  <si>
    <t>653102018112501770</t>
  </si>
  <si>
    <t>653002018112703467</t>
  </si>
  <si>
    <t>阿图什市正航通讯</t>
  </si>
  <si>
    <t>14260013</t>
  </si>
  <si>
    <t>钮正</t>
  </si>
  <si>
    <t>650102018112702565</t>
  </si>
  <si>
    <t>522402018112702480</t>
  </si>
  <si>
    <t>520102018112003049</t>
  </si>
  <si>
    <t>654302018112103380</t>
  </si>
  <si>
    <t>周卫良（柜台）</t>
  </si>
  <si>
    <t>653102018112201788</t>
  </si>
  <si>
    <t>650102018112201408</t>
  </si>
  <si>
    <t>460102018112603649</t>
  </si>
  <si>
    <t>海口龙华鑫天兴电讯服务中心</t>
  </si>
  <si>
    <t>522702018112701770</t>
  </si>
  <si>
    <t>652902018112102770</t>
  </si>
  <si>
    <t>653002018111803111</t>
  </si>
  <si>
    <t>610102018112202681</t>
  </si>
  <si>
    <t>530102018112502967</t>
  </si>
  <si>
    <t>睿垚电动车</t>
  </si>
  <si>
    <t>530102018112503442</t>
  </si>
  <si>
    <t>昆明市官渡区惠丰通信器材经营部一店</t>
  </si>
  <si>
    <t>653102018112703250</t>
  </si>
  <si>
    <t>653202018112601712</t>
  </si>
  <si>
    <t>652302018112102699</t>
  </si>
  <si>
    <t>昌吉市百翼通通讯</t>
  </si>
  <si>
    <t>10160019</t>
  </si>
  <si>
    <t>纪鹏辉</t>
  </si>
  <si>
    <t>460102018112201772</t>
  </si>
  <si>
    <t>威铃电动车</t>
  </si>
  <si>
    <t>460102018112502067</t>
  </si>
  <si>
    <t>海口龙华余富摩托车商行</t>
  </si>
  <si>
    <t>530102018112501734</t>
  </si>
  <si>
    <t>650102018112501895</t>
  </si>
  <si>
    <t>乌鲁木齐潮客电子商务有限公司-头区北站中联兴通讯王栋店</t>
  </si>
  <si>
    <t>26100399</t>
  </si>
  <si>
    <t>赵继星</t>
  </si>
  <si>
    <t>652902018112603224</t>
  </si>
  <si>
    <t>522702018112102503</t>
  </si>
  <si>
    <t>广顺镇个体户王兴文</t>
  </si>
  <si>
    <t>522702018111601686</t>
  </si>
  <si>
    <t>瓮安县珠藏镇合明通讯营业厅</t>
  </si>
  <si>
    <t>20040018</t>
  </si>
  <si>
    <t>唐递红</t>
  </si>
  <si>
    <t>650102018111601727</t>
  </si>
  <si>
    <t>460102018112102367</t>
  </si>
  <si>
    <t>520202018112202846</t>
  </si>
  <si>
    <t>650202018112603185</t>
  </si>
  <si>
    <t>克拉玛依玖跃通讯</t>
  </si>
  <si>
    <t>653102018112603335</t>
  </si>
  <si>
    <t>653202018111602084</t>
  </si>
  <si>
    <t>654202018111603153</t>
  </si>
  <si>
    <t>540102018112203427</t>
  </si>
  <si>
    <t>520402018112202578</t>
  </si>
  <si>
    <t>520402018112201356</t>
  </si>
  <si>
    <t>653002018112601929</t>
  </si>
  <si>
    <t>653202018112603470</t>
  </si>
  <si>
    <t>520402018112702844</t>
  </si>
  <si>
    <t>540102018112101036</t>
  </si>
  <si>
    <t>悠乐购数码华为专卖店</t>
  </si>
  <si>
    <t>653202018111602283</t>
  </si>
  <si>
    <t>洛浦县金箭电动车</t>
  </si>
  <si>
    <t>653102018112102971</t>
  </si>
  <si>
    <t>520102018112202515</t>
  </si>
  <si>
    <t>652902018112202370</t>
  </si>
  <si>
    <t>520402018112500739</t>
  </si>
  <si>
    <t>关岭皖平手机店</t>
  </si>
  <si>
    <t>522702018112602094</t>
  </si>
  <si>
    <t>独山县华星通讯</t>
  </si>
  <si>
    <t>654002018111603027</t>
  </si>
  <si>
    <t>巩留县天宇通讯</t>
  </si>
  <si>
    <t>25250265</t>
  </si>
  <si>
    <t>冶永儿</t>
  </si>
  <si>
    <t>652902018112202739</t>
  </si>
  <si>
    <t>阿克苏市新世纪手机卖场-二分店</t>
  </si>
  <si>
    <t>653102018112203026</t>
  </si>
  <si>
    <t>巴楚县热万通讯</t>
  </si>
  <si>
    <t>23230134</t>
  </si>
  <si>
    <t>王维</t>
  </si>
  <si>
    <t>522702018112202562</t>
  </si>
  <si>
    <t>653202018112701237</t>
  </si>
  <si>
    <t>于田县鸿宇通讯手机大卖场</t>
  </si>
  <si>
    <t>26130158</t>
  </si>
  <si>
    <t>赵马瑞</t>
  </si>
  <si>
    <t>520202018112601651</t>
  </si>
  <si>
    <t>530602018112600974</t>
  </si>
  <si>
    <t>昭通市昭阳区华丰通讯</t>
  </si>
  <si>
    <t>522302018112601561</t>
  </si>
  <si>
    <t>龙广鼎盛通讯</t>
  </si>
  <si>
    <t>26040094</t>
  </si>
  <si>
    <t>张定娜</t>
  </si>
  <si>
    <t>622902018112102065</t>
  </si>
  <si>
    <t>个体户王文慧</t>
  </si>
  <si>
    <t>650102018112103515</t>
  </si>
  <si>
    <t>19120107</t>
  </si>
  <si>
    <t>石李</t>
  </si>
  <si>
    <t>150802018112101001</t>
  </si>
  <si>
    <t>五原县移动通信手机专卖店鸿宇店</t>
  </si>
  <si>
    <t>12260100</t>
  </si>
  <si>
    <t>李治忠</t>
  </si>
  <si>
    <t>653102018112102743</t>
  </si>
  <si>
    <t>522702018111302699</t>
  </si>
  <si>
    <t>罗甸县宏大通讯店</t>
  </si>
  <si>
    <t>411402018112201632</t>
  </si>
  <si>
    <t>411602018112201724</t>
  </si>
  <si>
    <t>中国电信全网通4G手机卖场</t>
  </si>
  <si>
    <t>12180088</t>
  </si>
  <si>
    <t>吕仁豪</t>
  </si>
  <si>
    <t>620102018112501447</t>
  </si>
  <si>
    <t>城关区雁北路跃达通讯店</t>
  </si>
  <si>
    <t>26040015</t>
  </si>
  <si>
    <t>张东</t>
  </si>
  <si>
    <t>530102018112602846</t>
  </si>
  <si>
    <t>禄劝县屏山镇誉欣通讯经营部</t>
  </si>
  <si>
    <t>653102018112603602</t>
  </si>
  <si>
    <t>652102018112601756</t>
  </si>
  <si>
    <t>高昌区迪力恰提手机店</t>
  </si>
  <si>
    <t>24040038</t>
  </si>
  <si>
    <t>夏地亚·阿帕尔</t>
  </si>
  <si>
    <t>650102018112102358</t>
  </si>
  <si>
    <t>653102018112201473</t>
  </si>
  <si>
    <t>19120095</t>
  </si>
  <si>
    <t>赛来·玉苏普</t>
  </si>
  <si>
    <t>653102018112601662</t>
  </si>
  <si>
    <t>岳普湖县安外尔亚森依孜达手机卖场</t>
  </si>
  <si>
    <t>650102018112602575</t>
  </si>
  <si>
    <t>653102018112602311</t>
  </si>
  <si>
    <t>654002018112602748</t>
  </si>
  <si>
    <t>巩留县大世纪通讯店</t>
  </si>
  <si>
    <t>654002018112601503</t>
  </si>
  <si>
    <t>650102018112201858</t>
  </si>
  <si>
    <t>水泥厂邱军强店</t>
  </si>
  <si>
    <t>650102018112502396</t>
  </si>
  <si>
    <t>乌鲁木齐潮客电子商务有限公司-米东区攀峰手机通讯移动店</t>
  </si>
  <si>
    <t>622902018112600962</t>
  </si>
  <si>
    <t>东乡族自治县领军科技手机专卖店</t>
  </si>
  <si>
    <t>522702018112601965</t>
  </si>
  <si>
    <t>652302018112602912</t>
  </si>
  <si>
    <t>652302018112601853</t>
  </si>
  <si>
    <t>乌鲁木齐潮客电子商务有限公司-奇台亿龙通讯</t>
  </si>
  <si>
    <t>650102018112603327</t>
  </si>
  <si>
    <t>12250814</t>
  </si>
  <si>
    <t>李艳梅</t>
  </si>
  <si>
    <t>652302018111901736</t>
  </si>
  <si>
    <t>530502018112003155</t>
  </si>
  <si>
    <t>腾冲市腾越镇李艳通信店</t>
  </si>
  <si>
    <t>540102018112203571</t>
  </si>
  <si>
    <t>653102018112702443</t>
  </si>
  <si>
    <t>653102018112702632</t>
  </si>
  <si>
    <t>622902018112802586</t>
  </si>
  <si>
    <t>654002018112802435</t>
  </si>
  <si>
    <t>特克斯县盛泰通讯店</t>
  </si>
  <si>
    <t>04120082</t>
  </si>
  <si>
    <t>丁力军</t>
  </si>
  <si>
    <t>520202018112801866</t>
  </si>
  <si>
    <t>六盘水翼发通信器材有限公司马鞍山店</t>
  </si>
  <si>
    <t>650102018112803436</t>
  </si>
  <si>
    <t>520102018112802992</t>
  </si>
  <si>
    <t>南明2区张霞店</t>
  </si>
  <si>
    <t>653102018112801767</t>
  </si>
  <si>
    <t>653102018112901626</t>
  </si>
  <si>
    <t>520402018111601342</t>
  </si>
  <si>
    <t>普定县今诚发手机店</t>
  </si>
  <si>
    <t>653102018112103660</t>
  </si>
  <si>
    <t>莎车县天一通讯部</t>
  </si>
  <si>
    <t>652902018112603316</t>
  </si>
  <si>
    <t>沙雅凯越通讯部vivo专卖店</t>
  </si>
  <si>
    <t>18140003</t>
  </si>
  <si>
    <t>热那古丽·依米提</t>
  </si>
  <si>
    <t>520202018112601698</t>
  </si>
  <si>
    <t>盘县柏果广源通讯经营部</t>
  </si>
  <si>
    <t>654002018112602976</t>
  </si>
  <si>
    <t>652902018111303415</t>
  </si>
  <si>
    <t>阿克苏市星皓通讯部</t>
  </si>
  <si>
    <t>23240326</t>
  </si>
  <si>
    <t>王鑫</t>
  </si>
  <si>
    <t>653202018112902572</t>
  </si>
  <si>
    <t>和田市格林豪泰车业店</t>
  </si>
  <si>
    <t>652902018112902304</t>
  </si>
  <si>
    <t>650102018112903257</t>
  </si>
  <si>
    <t>乌鲁木齐潮客电子商务有限公司-头区联创通讯林胜店</t>
  </si>
  <si>
    <t>230502018111901587</t>
  </si>
  <si>
    <t>宏达电器</t>
  </si>
  <si>
    <t>650102018112701167</t>
  </si>
  <si>
    <t>653102018111302253</t>
  </si>
  <si>
    <t>653202018111302812</t>
  </si>
  <si>
    <t>520402018112702859</t>
  </si>
  <si>
    <t>移动营业厅手机店</t>
  </si>
  <si>
    <t>23250510</t>
  </si>
  <si>
    <t>王艳</t>
  </si>
  <si>
    <t>522702018112701697</t>
  </si>
  <si>
    <t>平塘县利华通讯2店</t>
  </si>
  <si>
    <t>20180021</t>
  </si>
  <si>
    <t>田仁会</t>
  </si>
  <si>
    <t>653102018112702372</t>
  </si>
  <si>
    <t>巴楚县田勇综源手机销售店</t>
  </si>
  <si>
    <t>652102018112801230</t>
  </si>
  <si>
    <t>19020016</t>
  </si>
  <si>
    <t>沙比提·买买提</t>
  </si>
  <si>
    <t>653102018112801872</t>
  </si>
  <si>
    <t>522402018112802895</t>
  </si>
  <si>
    <t>23110033</t>
  </si>
  <si>
    <t>王昆</t>
  </si>
  <si>
    <t>654002018112802919</t>
  </si>
  <si>
    <t>伊宁市森画美车行</t>
  </si>
  <si>
    <t>13240152</t>
  </si>
  <si>
    <t>马小军</t>
  </si>
  <si>
    <t>654302018112702057</t>
  </si>
  <si>
    <t>520402018112703174</t>
  </si>
  <si>
    <t>653202018112702360</t>
  </si>
  <si>
    <t>520102018112701075</t>
  </si>
  <si>
    <t>个体户杨在斌</t>
  </si>
  <si>
    <t>530102018112801851</t>
  </si>
  <si>
    <t>昆明市盘龙区顺旺电动车经营部</t>
  </si>
  <si>
    <t>522702018112902029</t>
  </si>
  <si>
    <t>520402018112903217</t>
  </si>
  <si>
    <t>652802018112901739</t>
  </si>
  <si>
    <t>522702018112102448</t>
  </si>
  <si>
    <t>罗甸县新航通讯店边阳店</t>
  </si>
  <si>
    <t>653002018111903718</t>
  </si>
  <si>
    <t>653102018112101856</t>
  </si>
  <si>
    <t>653202018112103232</t>
  </si>
  <si>
    <t>610102018112702590</t>
  </si>
  <si>
    <t>520402018112700673</t>
  </si>
  <si>
    <t>安顺开发区幺铺镇全网通手机卖场</t>
  </si>
  <si>
    <t>650102018112700926</t>
  </si>
  <si>
    <t>653102018112702471</t>
  </si>
  <si>
    <t>喀什市中迪通信服务部</t>
  </si>
  <si>
    <t>622902018112701108</t>
  </si>
  <si>
    <t>653102018112802590</t>
  </si>
  <si>
    <t>653102018112802894</t>
  </si>
  <si>
    <t>653202018112803079</t>
  </si>
  <si>
    <t>650102018112802050</t>
  </si>
  <si>
    <t>653202018112801445</t>
  </si>
  <si>
    <t>652802018111601384</t>
  </si>
  <si>
    <t>650102018112002852</t>
  </si>
  <si>
    <t>522402018112601453</t>
  </si>
  <si>
    <t>610102018112600757</t>
  </si>
  <si>
    <t>610102018112801402</t>
  </si>
  <si>
    <t>520402018112801078</t>
  </si>
  <si>
    <t>650102018113003638</t>
  </si>
  <si>
    <t>乌鲁木齐潮客电子商务有限公司-米东区宏远店</t>
  </si>
  <si>
    <t>650102018111903759</t>
  </si>
  <si>
    <t>乌鲁木齐潮客电子商务有限公司-沙区克拉玛依东路成刚店</t>
  </si>
  <si>
    <t>653102018112003662</t>
  </si>
  <si>
    <t>150802018112702724</t>
  </si>
  <si>
    <t>653002018112803558</t>
  </si>
  <si>
    <t>653102018112903077</t>
  </si>
  <si>
    <t>610102018113000638</t>
  </si>
  <si>
    <t>653102018112703253</t>
  </si>
  <si>
    <t>654002018112703141</t>
  </si>
  <si>
    <t>522402018112703516</t>
  </si>
  <si>
    <t>瑞丰通讯</t>
  </si>
  <si>
    <t>522702018111503617</t>
  </si>
  <si>
    <t>23250124</t>
  </si>
  <si>
    <t>王运坤</t>
  </si>
  <si>
    <t>522702018112101700</t>
  </si>
  <si>
    <t>贵定县大众手机店-都匀小十字旗舰店</t>
  </si>
  <si>
    <t>12190178</t>
  </si>
  <si>
    <t>罗爽</t>
  </si>
  <si>
    <t>653202018112103259</t>
  </si>
  <si>
    <t>于田县启创通讯</t>
  </si>
  <si>
    <t>654002018112102892</t>
  </si>
  <si>
    <t>653102018112602558</t>
  </si>
  <si>
    <t>650102018112702021</t>
  </si>
  <si>
    <t>150802018112801027</t>
  </si>
  <si>
    <t>临河区海龙通讯店</t>
  </si>
  <si>
    <t>12110044</t>
  </si>
  <si>
    <t>刘凯</t>
  </si>
  <si>
    <t>520402018112802983</t>
  </si>
  <si>
    <t>652902018112902426</t>
  </si>
  <si>
    <t>622902018111902358</t>
  </si>
  <si>
    <t>610102018112001436</t>
  </si>
  <si>
    <t>653202018112103201</t>
  </si>
  <si>
    <t>和田市乐视生态体验店</t>
  </si>
  <si>
    <t>652802018112701792</t>
  </si>
  <si>
    <t>库尔勒尚潮通讯部</t>
  </si>
  <si>
    <t>08190082</t>
  </si>
  <si>
    <t>何姝洁</t>
  </si>
  <si>
    <t>653102018112703321</t>
  </si>
  <si>
    <t>喀什市未来猎人大店</t>
  </si>
  <si>
    <t>653102018112701752</t>
  </si>
  <si>
    <t>喀什市心诚数码科技店</t>
  </si>
  <si>
    <t>520202018112801829</t>
  </si>
  <si>
    <t>水城县陡箐乡九洲通讯</t>
  </si>
  <si>
    <t>653102018112802828</t>
  </si>
  <si>
    <t>莎车县艾力西湖镇王召联通代理点</t>
  </si>
  <si>
    <t>652902018112802140</t>
  </si>
  <si>
    <t>469002018112903277</t>
  </si>
  <si>
    <t>万宁礼纪新文明手机店</t>
  </si>
  <si>
    <t>652902018112902249</t>
  </si>
  <si>
    <t>17080025</t>
  </si>
  <si>
    <t>青欢</t>
  </si>
  <si>
    <t>652102018113003019</t>
  </si>
  <si>
    <t>520102018112003901</t>
  </si>
  <si>
    <t>小河区甘荫塘一店</t>
  </si>
  <si>
    <t>26190159</t>
  </si>
  <si>
    <t>张圣龙</t>
  </si>
  <si>
    <t>540102018112003274</t>
  </si>
  <si>
    <t>654302018112001297</t>
  </si>
  <si>
    <t>530502018112001592</t>
  </si>
  <si>
    <t>650102018112102429</t>
  </si>
  <si>
    <t>654202018112702721</t>
  </si>
  <si>
    <t>653102018112903204</t>
  </si>
  <si>
    <t>520402018113003304</t>
  </si>
  <si>
    <t>普定县超强通讯经营部</t>
  </si>
  <si>
    <t>650102018112001682</t>
  </si>
  <si>
    <t>650102018112100452</t>
  </si>
  <si>
    <t>653202018112703272</t>
  </si>
  <si>
    <t>策勒县乌墩电器销售店</t>
  </si>
  <si>
    <t>654202018112702458</t>
  </si>
  <si>
    <t>653002018112702890</t>
  </si>
  <si>
    <t>阿图什市小米部落手机销售店</t>
  </si>
  <si>
    <t>230502018112801156</t>
  </si>
  <si>
    <t>522702018112803204</t>
  </si>
  <si>
    <t>平塘县塘边镇个体户杨丽</t>
  </si>
  <si>
    <t>652902018112901508</t>
  </si>
  <si>
    <t>460102018112902887</t>
  </si>
  <si>
    <t>霖翔3店</t>
  </si>
  <si>
    <t>652902018112903194</t>
  </si>
  <si>
    <t>652302018113003582</t>
  </si>
  <si>
    <t>653102018113003738</t>
  </si>
  <si>
    <t>岳普湖县腾飞手机销售店</t>
  </si>
  <si>
    <t>08260115</t>
  </si>
  <si>
    <t>胡志强</t>
  </si>
  <si>
    <t>522402018112703393</t>
  </si>
  <si>
    <t>520102018112802220</t>
  </si>
  <si>
    <t>南明三区手机之家2店</t>
  </si>
  <si>
    <t>520102018113003485</t>
  </si>
  <si>
    <t>煤矿村店</t>
  </si>
  <si>
    <t>653202018113002539</t>
  </si>
  <si>
    <t>墨玉县五羊本田摩托车销售店</t>
  </si>
  <si>
    <t>522302018113000633</t>
  </si>
  <si>
    <t>610102018113000762</t>
  </si>
  <si>
    <t>650102018112102199</t>
  </si>
  <si>
    <t>乌鲁木齐潮客电子商务有限公司-捷达通讯鸿翔电子城刘江北vivo店</t>
  </si>
  <si>
    <t>653002018112101885</t>
  </si>
  <si>
    <t>653102018112101881</t>
  </si>
  <si>
    <t>653102018112201750</t>
  </si>
  <si>
    <t>巴楚县世纪通讯手机店</t>
  </si>
  <si>
    <t>25250250</t>
  </si>
  <si>
    <t>姚玉红</t>
  </si>
  <si>
    <t>650102018112702999</t>
  </si>
  <si>
    <t>522402018112802171</t>
  </si>
  <si>
    <t>652102018112801718</t>
  </si>
  <si>
    <t>653102018112802360</t>
  </si>
  <si>
    <t>岳普湖县麦合木提阿卜力米提手机销售店</t>
  </si>
  <si>
    <t>654002018112903003</t>
  </si>
  <si>
    <t>察布查尔锡伯自治县幸福通讯服务部</t>
  </si>
  <si>
    <t>653102018112903316</t>
  </si>
  <si>
    <t>650102018113003367</t>
  </si>
  <si>
    <t>522702018112901334</t>
  </si>
  <si>
    <t>福泉市心连心通讯</t>
  </si>
  <si>
    <t>654002018112002693</t>
  </si>
  <si>
    <t>530102018111901700</t>
  </si>
  <si>
    <t>522702018112101704</t>
  </si>
  <si>
    <t>540102018112802323</t>
  </si>
  <si>
    <t>654302018113003404</t>
  </si>
  <si>
    <t>富蕴县恒宇通讯</t>
  </si>
  <si>
    <t>652902018113001827</t>
  </si>
  <si>
    <t>654002018111902851</t>
  </si>
  <si>
    <t>昭苏县弘宇手机卖场</t>
  </si>
  <si>
    <t>653102018112001539</t>
  </si>
  <si>
    <t>01250022</t>
  </si>
  <si>
    <t>阿依努尔·艾合买提</t>
  </si>
  <si>
    <t>520102018112101375</t>
  </si>
  <si>
    <t>众智通讯</t>
  </si>
  <si>
    <t>653102018112501251</t>
  </si>
  <si>
    <t>伽师县恒信通讯</t>
  </si>
  <si>
    <t>653202018112603094</t>
  </si>
  <si>
    <t>530102018112702449</t>
  </si>
  <si>
    <t>昆明经开区铭浩数码经营部</t>
  </si>
  <si>
    <t>520102018112802327</t>
  </si>
  <si>
    <t>世纪畅达-王家桥店</t>
  </si>
  <si>
    <t>653102018112801622</t>
  </si>
  <si>
    <t>520402018113001683</t>
  </si>
  <si>
    <t>紫云自治县鸿发手机体验馆</t>
  </si>
  <si>
    <t>653202018113003023</t>
  </si>
  <si>
    <t>460102018113002714</t>
  </si>
  <si>
    <t>653102018112000940</t>
  </si>
  <si>
    <t>650102018112602929</t>
  </si>
  <si>
    <t>乌鲁木齐潮客电子商务有限公司-新市区宁波街宝捷通讯店</t>
  </si>
  <si>
    <t>653202018112702767</t>
  </si>
  <si>
    <t>和田市南燕电动车</t>
  </si>
  <si>
    <t>150802018111701381</t>
  </si>
  <si>
    <t>临河区诚宇手机店</t>
  </si>
  <si>
    <t>653102018111602804</t>
  </si>
  <si>
    <t>652302018111602817</t>
  </si>
  <si>
    <t>昌吉市新锐通讯店</t>
  </si>
  <si>
    <t>03250291</t>
  </si>
  <si>
    <t>陈岩山</t>
  </si>
  <si>
    <t>530502018111602188</t>
  </si>
  <si>
    <t>隆阳区好机会通讯器材经营部</t>
  </si>
  <si>
    <t>530502018111602381</t>
  </si>
  <si>
    <t>530102018111402501</t>
  </si>
  <si>
    <t>昆明市官渡区万年通信器材经营部</t>
  </si>
  <si>
    <t>654202018113002596</t>
  </si>
  <si>
    <t>额敏县掌逸手机体验店</t>
  </si>
  <si>
    <t>653102018111603261</t>
  </si>
  <si>
    <t>654302018112001598</t>
  </si>
  <si>
    <t>650102018113003434</t>
  </si>
  <si>
    <t>650102018112002494</t>
  </si>
  <si>
    <t>520102018113002354</t>
  </si>
  <si>
    <t>650202018111603116</t>
  </si>
  <si>
    <t>26250602</t>
  </si>
  <si>
    <t>张耀杰</t>
  </si>
  <si>
    <t>653002018111602963</t>
  </si>
  <si>
    <t>522702018112000672</t>
  </si>
  <si>
    <t>平塘县塘边镇宏兴电信营业厅</t>
  </si>
  <si>
    <t>522402018113002585</t>
  </si>
  <si>
    <t>个体户白熹辉</t>
  </si>
  <si>
    <t>654002018111403752</t>
  </si>
  <si>
    <t>新源县全网通信手机卖场</t>
  </si>
  <si>
    <t>08160035</t>
  </si>
  <si>
    <t>何攀</t>
  </si>
  <si>
    <t>522202018111600665</t>
  </si>
  <si>
    <t>印江土家族苗族自治县嘉亿通讯分店</t>
  </si>
  <si>
    <t>652102018112900984</t>
  </si>
  <si>
    <t>托克逊县隆鑫摩托车销售部</t>
  </si>
  <si>
    <t>540102018113002682</t>
  </si>
  <si>
    <t>653202018113002913</t>
  </si>
  <si>
    <t>653102018112002744</t>
  </si>
  <si>
    <t>520102018113001437</t>
  </si>
  <si>
    <t>个体户丁峰</t>
  </si>
  <si>
    <t>653002018113003284</t>
  </si>
  <si>
    <t>650202018111601383</t>
  </si>
  <si>
    <t>乌尔禾区仁顺手机销售部</t>
  </si>
  <si>
    <t>19120066</t>
  </si>
  <si>
    <t>宋磊</t>
  </si>
  <si>
    <t>652302018112902300</t>
  </si>
  <si>
    <t>653202018111403501</t>
  </si>
  <si>
    <t>策勒县古丽天翼店</t>
  </si>
  <si>
    <t>460102018113001291</t>
  </si>
  <si>
    <t>海口美兰铭嘉数码商行</t>
  </si>
  <si>
    <t>230102018111402959</t>
  </si>
  <si>
    <t>OPPO专卖店</t>
  </si>
  <si>
    <t>08170105</t>
  </si>
  <si>
    <t>胡庆</t>
  </si>
  <si>
    <t>653102018111901896</t>
  </si>
  <si>
    <t>12200116</t>
  </si>
  <si>
    <t>刘婷婷</t>
  </si>
  <si>
    <t>653002018112003641</t>
  </si>
  <si>
    <t>522702018112901897</t>
  </si>
  <si>
    <t>652302018111602105</t>
  </si>
  <si>
    <t>653202018112002910</t>
  </si>
  <si>
    <t>150802018112200566</t>
  </si>
  <si>
    <t>150802018113002073</t>
  </si>
  <si>
    <t>个体户张晓青（WYYZZ）</t>
  </si>
  <si>
    <t>231202018112500416</t>
  </si>
  <si>
    <t>金新天天手机卖场</t>
  </si>
  <si>
    <t>522402018113002055</t>
  </si>
  <si>
    <t>威宁县草海镇信达科技通讯店</t>
  </si>
  <si>
    <t>653002018112003635</t>
  </si>
  <si>
    <t>654002018112902492</t>
  </si>
  <si>
    <t>652302018113003119</t>
  </si>
  <si>
    <t>653202018111901235</t>
  </si>
  <si>
    <t>530102018111902128</t>
  </si>
  <si>
    <t>西山区华裔通讯器材经营部</t>
  </si>
  <si>
    <t>231202018112801084</t>
  </si>
  <si>
    <t>立伟通讯</t>
  </si>
  <si>
    <t>23030125</t>
  </si>
  <si>
    <t>吴春波</t>
  </si>
  <si>
    <t>520202018112801827</t>
  </si>
  <si>
    <t>志海通讯</t>
  </si>
  <si>
    <t>650102018111702422</t>
  </si>
  <si>
    <t>460102018112803111</t>
  </si>
  <si>
    <t>460002018113003885</t>
  </si>
  <si>
    <t>653202018113003316</t>
  </si>
  <si>
    <t>460002018111901293</t>
  </si>
  <si>
    <t>屯昌屯城利民电动车配件总汇</t>
  </si>
  <si>
    <t>653102018111902336</t>
  </si>
  <si>
    <t>650102018111902223</t>
  </si>
  <si>
    <t>654202018111903599</t>
  </si>
  <si>
    <t>托里县孙文昌手机卖场</t>
  </si>
  <si>
    <t>654202018112302733</t>
  </si>
  <si>
    <t>塔城市成刚通讯营业厅</t>
  </si>
  <si>
    <t>08170079</t>
  </si>
  <si>
    <t>何祺安</t>
  </si>
  <si>
    <t>520102018112303285</t>
  </si>
  <si>
    <t>650102018112301314</t>
  </si>
  <si>
    <t>520402018112302933</t>
  </si>
  <si>
    <t>华光通讯</t>
  </si>
  <si>
    <t>520102018112501425</t>
  </si>
  <si>
    <t>540102018111402215</t>
  </si>
  <si>
    <t>652902018112901726</t>
  </si>
  <si>
    <t>650202018111102833</t>
  </si>
  <si>
    <t>克拉玛依鑫卓裕通讯</t>
  </si>
  <si>
    <t>460002018112303365</t>
  </si>
  <si>
    <t>469002018112301183</t>
  </si>
  <si>
    <t>文昌文城鸿达电讯店</t>
  </si>
  <si>
    <t>24250105</t>
  </si>
  <si>
    <t>邢雅</t>
  </si>
  <si>
    <t>650102018112302663</t>
  </si>
  <si>
    <t>乌鲁木齐潮客电子商务有限公司-蒋丹莲店</t>
  </si>
  <si>
    <t>653102018112702701</t>
  </si>
  <si>
    <t>653102018112703601</t>
  </si>
  <si>
    <t>650102018112702834</t>
  </si>
  <si>
    <t>520102018112901858</t>
  </si>
  <si>
    <t>王富琴二店</t>
  </si>
  <si>
    <t>653102018111102899</t>
  </si>
  <si>
    <t>652302018111101611</t>
  </si>
  <si>
    <t>昌吉市云龙通讯店</t>
  </si>
  <si>
    <t>652102018112303804</t>
  </si>
  <si>
    <t>520202018112303864</t>
  </si>
  <si>
    <t>653102018112304363</t>
  </si>
  <si>
    <t>653102018112304374</t>
  </si>
  <si>
    <t>01120036</t>
  </si>
  <si>
    <t>阿力木·阿木提</t>
  </si>
  <si>
    <t>522702018112702395</t>
  </si>
  <si>
    <t>653102018112903114</t>
  </si>
  <si>
    <t>653102018111103275</t>
  </si>
  <si>
    <t>653102018111102557</t>
  </si>
  <si>
    <t>653102018112301452</t>
  </si>
  <si>
    <t>522402018112301551</t>
  </si>
  <si>
    <t>540102018112302304</t>
  </si>
  <si>
    <t>610102018112300803</t>
  </si>
  <si>
    <t>23160049</t>
  </si>
  <si>
    <t>王盼新</t>
  </si>
  <si>
    <t>654002018112303498</t>
  </si>
  <si>
    <t>654202018112302942</t>
  </si>
  <si>
    <t>652302018112302046</t>
  </si>
  <si>
    <t>乌鲁木齐潮客电子商务有限公司-昌吉市星海通讯</t>
  </si>
  <si>
    <t>653202018112700890</t>
  </si>
  <si>
    <t>652302018112101298</t>
  </si>
  <si>
    <t>奇台县恒顺通讯店</t>
  </si>
  <si>
    <t>650102018112501961</t>
  </si>
  <si>
    <t>652902018112703023</t>
  </si>
  <si>
    <t>652902018113002958</t>
  </si>
  <si>
    <t>652902018112304069</t>
  </si>
  <si>
    <t>阿克苏市盛威通讯部</t>
  </si>
  <si>
    <t>03250289</t>
  </si>
  <si>
    <t>陈樱</t>
  </si>
  <si>
    <t>652902018112302486</t>
  </si>
  <si>
    <t>530102018112701509</t>
  </si>
  <si>
    <t>昆明市盘龙区王强手机配件经营部</t>
  </si>
  <si>
    <t>650202018111501760</t>
  </si>
  <si>
    <t>克拉玛依区李欢电动车行</t>
  </si>
  <si>
    <t>532602018112103133</t>
  </si>
  <si>
    <t>文山市远达通讯店</t>
  </si>
  <si>
    <t>150802018111101865</t>
  </si>
  <si>
    <t>653102018111101294</t>
  </si>
  <si>
    <t>652902018111101736</t>
  </si>
  <si>
    <t>650102018111302352</t>
  </si>
  <si>
    <t>650102018112302843</t>
  </si>
  <si>
    <t>654302018112301534</t>
  </si>
  <si>
    <t>福海县盛达通讯</t>
  </si>
  <si>
    <t>522702018112304257</t>
  </si>
  <si>
    <t>荔波县李全保环球通信店</t>
  </si>
  <si>
    <t>653102018112502908</t>
  </si>
  <si>
    <t>522702018112802022</t>
  </si>
  <si>
    <t>231202018111502527</t>
  </si>
  <si>
    <t>150802018111103255</t>
  </si>
  <si>
    <t>653102018111103325</t>
  </si>
  <si>
    <t>522202018111103326</t>
  </si>
  <si>
    <t>522402018111103232</t>
  </si>
  <si>
    <t>653202018111103606</t>
  </si>
  <si>
    <t>墨玉县阿卜杜热合曼手机销售部</t>
  </si>
  <si>
    <t>522702018111502390</t>
  </si>
  <si>
    <t>652802018111103497</t>
  </si>
  <si>
    <t>尉犁县零壹通讯部</t>
  </si>
  <si>
    <t>652902018112304074</t>
  </si>
  <si>
    <t>沙雅县百事联通商务信息咨询营业部</t>
  </si>
  <si>
    <t>654002018112300825</t>
  </si>
  <si>
    <t>522602018111103444</t>
  </si>
  <si>
    <t>540102018111103077</t>
  </si>
  <si>
    <t>522402018111301976</t>
  </si>
  <si>
    <t>653202018112303800</t>
  </si>
  <si>
    <t>622902018111102420</t>
  </si>
  <si>
    <t>永靖县何启正手机经销店一分店</t>
  </si>
  <si>
    <t>652802018111101359</t>
  </si>
  <si>
    <t>652902018111103313</t>
  </si>
  <si>
    <t>653102018111803487</t>
  </si>
  <si>
    <t>653102018112302817</t>
  </si>
  <si>
    <t>520102018112304172</t>
  </si>
  <si>
    <t>花果园爱尚手机4店</t>
  </si>
  <si>
    <t>230502018111101650</t>
  </si>
  <si>
    <t>宏益世达家电手机广场</t>
  </si>
  <si>
    <t>25030099</t>
  </si>
  <si>
    <t>杨春艳</t>
  </si>
  <si>
    <t>522302018112303957</t>
  </si>
  <si>
    <t>金华通讯鑫达店</t>
  </si>
  <si>
    <t>522302018112304552</t>
  </si>
  <si>
    <t>兴成4G通讯</t>
  </si>
  <si>
    <t>652302018112303821</t>
  </si>
  <si>
    <t>652302018112301270</t>
  </si>
  <si>
    <t>乌鲁木齐潮客电子商务有限公司-木垒胜天通讯</t>
  </si>
  <si>
    <t>654002018111103075</t>
  </si>
  <si>
    <t>522302018112300954</t>
  </si>
  <si>
    <t>安龙县段友手机店</t>
  </si>
  <si>
    <t>522402018112302467</t>
  </si>
  <si>
    <t>七星关区万喜通手机店</t>
  </si>
  <si>
    <t>653102018112304276</t>
  </si>
  <si>
    <t>653002018111102028</t>
  </si>
  <si>
    <t>610102018111102166</t>
  </si>
  <si>
    <t>和泰电动车</t>
  </si>
  <si>
    <t>25060071</t>
  </si>
  <si>
    <t>岳府豪</t>
  </si>
  <si>
    <t>659002018111102552</t>
  </si>
  <si>
    <t>653102018112101459</t>
  </si>
  <si>
    <t>653102018111103505</t>
  </si>
  <si>
    <t>653102018111102037</t>
  </si>
  <si>
    <t>522302018111102493</t>
  </si>
  <si>
    <t>个体户黄丹丹</t>
  </si>
  <si>
    <t>653102018112303734</t>
  </si>
  <si>
    <t>岳普湖县希尔艾力手机销售店</t>
  </si>
  <si>
    <t>652302018112303311</t>
  </si>
  <si>
    <t>国讯oppo</t>
  </si>
  <si>
    <t>620102018111103492</t>
  </si>
  <si>
    <t>盐场路oppo手机专卖店</t>
  </si>
  <si>
    <t>653102018111401151</t>
  </si>
  <si>
    <t>654002018112401466</t>
  </si>
  <si>
    <t>如古艳依力亚力联通专营店</t>
  </si>
  <si>
    <t>653102018112401388</t>
  </si>
  <si>
    <t>26120383</t>
  </si>
  <si>
    <t>佐拉·吾舒尔</t>
  </si>
  <si>
    <t>653102018112401291</t>
  </si>
  <si>
    <t>喀什市魅族专卖店</t>
  </si>
  <si>
    <t>650102018112802804</t>
  </si>
  <si>
    <t>520402018111800973</t>
  </si>
  <si>
    <t>653202018111803381</t>
  </si>
  <si>
    <t>652902018112403142</t>
  </si>
  <si>
    <t>652902018112402788</t>
  </si>
  <si>
    <t>652802018112403082</t>
  </si>
  <si>
    <t>653202018112402670</t>
  </si>
  <si>
    <t>和田市多斯鲁克手机销售店</t>
  </si>
  <si>
    <t>653002018112603778</t>
  </si>
  <si>
    <t>652802018112802321</t>
  </si>
  <si>
    <t>尉犁县阿里木神州营业厅</t>
  </si>
  <si>
    <t>653102018111403347</t>
  </si>
  <si>
    <t>540102018112402526</t>
  </si>
  <si>
    <t>650102018112403170</t>
  </si>
  <si>
    <t>650102018112403400</t>
  </si>
  <si>
    <t>653102018112603539</t>
  </si>
  <si>
    <t>莎车县鑫达通讯</t>
  </si>
  <si>
    <t>653202018111403069</t>
  </si>
  <si>
    <t>墨玉县安民摩托车总汇</t>
  </si>
  <si>
    <t>653202018112003154</t>
  </si>
  <si>
    <t>12240431</t>
  </si>
  <si>
    <t>李新</t>
  </si>
  <si>
    <t>532602018112402872</t>
  </si>
  <si>
    <t>文山市碧芳通讯</t>
  </si>
  <si>
    <t>520202018112602681</t>
  </si>
  <si>
    <t>六盘水百信通讯</t>
  </si>
  <si>
    <t>652902018112602535</t>
  </si>
  <si>
    <t>540102018111402589</t>
  </si>
  <si>
    <t>522402018112401123</t>
  </si>
  <si>
    <t>653102018112603096</t>
  </si>
  <si>
    <t>652902018111403218</t>
  </si>
  <si>
    <t>个体户严冰川</t>
  </si>
  <si>
    <t>653202018112401621</t>
  </si>
  <si>
    <t>540102018112901478</t>
  </si>
  <si>
    <t>654202018111603430</t>
  </si>
  <si>
    <t>额敏县孟创通讯器材店</t>
  </si>
  <si>
    <t>17120029</t>
  </si>
  <si>
    <t>乔磊</t>
  </si>
  <si>
    <t>654002018112401214</t>
  </si>
  <si>
    <t>昭苏县优美家电专卖店</t>
  </si>
  <si>
    <t>653102018112401132</t>
  </si>
  <si>
    <t>653102018112401386</t>
  </si>
  <si>
    <t>652902018112402438</t>
  </si>
  <si>
    <t>652802018112402746</t>
  </si>
  <si>
    <t>库尔勒爱宏星通讯店</t>
  </si>
  <si>
    <t>520102018112403293</t>
  </si>
  <si>
    <t>652902018112402681</t>
  </si>
  <si>
    <t>650102018113002512</t>
  </si>
  <si>
    <t>沙区红庙子燕子通讯点</t>
  </si>
  <si>
    <t>654002018112402903</t>
  </si>
  <si>
    <t>653102018112602915</t>
  </si>
  <si>
    <t>莎车县巴格阿瓦提乡1号分店</t>
  </si>
  <si>
    <t>14180007</t>
  </si>
  <si>
    <t>努热古丽·吐尔孙</t>
  </si>
  <si>
    <t>522702018112800629</t>
  </si>
  <si>
    <t>650102018112802528</t>
  </si>
  <si>
    <t>622902018112401534</t>
  </si>
  <si>
    <t>东乡族自治县鑫焱手机店</t>
  </si>
  <si>
    <t>610102018112402485</t>
  </si>
  <si>
    <t>653102018112603492</t>
  </si>
  <si>
    <t>喀什市肉孜库尔班手机销售店</t>
  </si>
  <si>
    <t>522702018112602395</t>
  </si>
  <si>
    <t>654002018112001754</t>
  </si>
  <si>
    <t>伊宁市刘萍手机销售店</t>
  </si>
  <si>
    <t>654302018112403005</t>
  </si>
  <si>
    <t>阿勒泰市雅迪电动车旗舰店</t>
  </si>
  <si>
    <t>520402018112401192</t>
  </si>
  <si>
    <t>653202018112403129</t>
  </si>
  <si>
    <t>和田市和记数码通讯店</t>
  </si>
  <si>
    <t>460002018112401146</t>
  </si>
  <si>
    <t>定安定城海润手机卖场-沿江二路店</t>
  </si>
  <si>
    <t>654002018112603307</t>
  </si>
  <si>
    <t>伊宁县华创通讯部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</si>
</sst>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6"/>
  <sheetViews>
    <sheetView tabSelected="1" workbookViewId="0">
      <selection activeCell="J22" sqref="J22"/>
    </sheetView>
  </sheetViews>
  <sheetFormatPr defaultRowHeight="14.25" x14ac:dyDescent="0.2"/>
  <cols>
    <col min="1" max="1" width="20.5" bestFit="1" customWidth="1"/>
    <col min="7" max="7" width="9" style="2"/>
    <col min="19" max="19" width="9" style="2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855</v>
      </c>
    </row>
    <row r="2" spans="1:19" x14ac:dyDescent="0.2">
      <c r="A2" t="s">
        <v>1516</v>
      </c>
      <c r="B2">
        <v>3800</v>
      </c>
      <c r="C2" t="s">
        <v>26</v>
      </c>
      <c r="D2" t="s">
        <v>970</v>
      </c>
      <c r="E2" t="s">
        <v>416</v>
      </c>
      <c r="F2" t="s">
        <v>544</v>
      </c>
      <c r="G2" s="2" t="s">
        <v>545</v>
      </c>
      <c r="H2" t="s">
        <v>28</v>
      </c>
      <c r="I2" t="s">
        <v>159</v>
      </c>
      <c r="J2" t="s">
        <v>160</v>
      </c>
      <c r="K2" t="s">
        <v>930</v>
      </c>
      <c r="L2" t="s">
        <v>930</v>
      </c>
      <c r="M2" t="s">
        <v>161</v>
      </c>
      <c r="N2" t="s">
        <v>55</v>
      </c>
      <c r="O2" t="s">
        <v>33</v>
      </c>
      <c r="P2" t="s">
        <v>34</v>
      </c>
      <c r="Q2">
        <v>1</v>
      </c>
      <c r="R2">
        <v>0</v>
      </c>
      <c r="S2" s="2" t="str">
        <f>IFERROR(VLOOKUP(C2,Sheet2!B:E,4,0),C2)</f>
        <v>一般产品</v>
      </c>
    </row>
    <row r="3" spans="1:19" x14ac:dyDescent="0.2">
      <c r="A3" t="s">
        <v>1517</v>
      </c>
      <c r="B3">
        <v>3498</v>
      </c>
      <c r="C3" t="s">
        <v>589</v>
      </c>
      <c r="D3" t="s">
        <v>972</v>
      </c>
      <c r="E3" t="s">
        <v>1518</v>
      </c>
      <c r="F3" t="s">
        <v>1161</v>
      </c>
      <c r="G3" s="2" t="s">
        <v>1162</v>
      </c>
      <c r="H3" t="s">
        <v>18</v>
      </c>
      <c r="I3" t="s">
        <v>74</v>
      </c>
      <c r="J3" t="s">
        <v>75</v>
      </c>
      <c r="K3" t="s">
        <v>930</v>
      </c>
      <c r="L3" t="s">
        <v>930</v>
      </c>
      <c r="M3" t="s">
        <v>938</v>
      </c>
      <c r="N3" t="s">
        <v>44</v>
      </c>
      <c r="O3" t="s">
        <v>24</v>
      </c>
      <c r="P3" t="s">
        <v>25</v>
      </c>
      <c r="Q3">
        <v>1</v>
      </c>
      <c r="R3">
        <v>0</v>
      </c>
      <c r="S3" s="2" t="str">
        <f>IFERROR(VLOOKUP(C3,Sheet2!B:E,4,0),C3)</f>
        <v>优惠产品</v>
      </c>
    </row>
    <row r="4" spans="1:19" x14ac:dyDescent="0.2">
      <c r="A4" t="s">
        <v>1519</v>
      </c>
      <c r="B4">
        <v>2799</v>
      </c>
      <c r="C4" t="s">
        <v>589</v>
      </c>
      <c r="D4" t="s">
        <v>726</v>
      </c>
      <c r="E4" t="s">
        <v>378</v>
      </c>
      <c r="F4" t="s">
        <v>1520</v>
      </c>
      <c r="G4" s="2" t="s">
        <v>1521</v>
      </c>
      <c r="H4" t="s">
        <v>18</v>
      </c>
      <c r="I4" t="s">
        <v>379</v>
      </c>
      <c r="J4" t="s">
        <v>380</v>
      </c>
      <c r="K4" t="s">
        <v>930</v>
      </c>
      <c r="L4" t="s">
        <v>930</v>
      </c>
      <c r="M4" t="s">
        <v>381</v>
      </c>
      <c r="N4" t="s">
        <v>46</v>
      </c>
      <c r="O4" t="s">
        <v>63</v>
      </c>
      <c r="P4" t="s">
        <v>34</v>
      </c>
      <c r="Q4">
        <v>1</v>
      </c>
      <c r="R4">
        <v>0</v>
      </c>
      <c r="S4" s="2" t="str">
        <f>IFERROR(VLOOKUP(C4,Sheet2!B:E,4,0),C4)</f>
        <v>优惠产品</v>
      </c>
    </row>
    <row r="5" spans="1:19" x14ac:dyDescent="0.2">
      <c r="A5" t="s">
        <v>1522</v>
      </c>
      <c r="B5">
        <v>2800</v>
      </c>
      <c r="C5" t="s">
        <v>26</v>
      </c>
      <c r="D5" t="s">
        <v>50</v>
      </c>
      <c r="E5" t="s">
        <v>1099</v>
      </c>
      <c r="F5" t="s">
        <v>1340</v>
      </c>
      <c r="G5" s="2" t="s">
        <v>515</v>
      </c>
      <c r="H5" t="s">
        <v>18</v>
      </c>
      <c r="I5" t="s">
        <v>164</v>
      </c>
      <c r="J5" t="s">
        <v>165</v>
      </c>
      <c r="K5" t="s">
        <v>930</v>
      </c>
      <c r="L5" t="s">
        <v>930</v>
      </c>
      <c r="M5" t="s">
        <v>166</v>
      </c>
      <c r="N5" t="s">
        <v>55</v>
      </c>
      <c r="O5" t="s">
        <v>33</v>
      </c>
      <c r="P5" t="s">
        <v>34</v>
      </c>
      <c r="Q5">
        <v>1</v>
      </c>
      <c r="R5">
        <v>0</v>
      </c>
      <c r="S5" s="2" t="str">
        <f>IFERROR(VLOOKUP(C5,Sheet2!B:E,4,0),C5)</f>
        <v>一般产品</v>
      </c>
    </row>
    <row r="6" spans="1:19" x14ac:dyDescent="0.2">
      <c r="A6" t="s">
        <v>1523</v>
      </c>
      <c r="B6">
        <v>3600</v>
      </c>
      <c r="C6" t="s">
        <v>26</v>
      </c>
      <c r="D6" t="s">
        <v>972</v>
      </c>
      <c r="E6" t="s">
        <v>1524</v>
      </c>
      <c r="F6" t="s">
        <v>1525</v>
      </c>
      <c r="G6" s="2" t="s">
        <v>1526</v>
      </c>
      <c r="H6" t="s">
        <v>18</v>
      </c>
      <c r="I6" t="s">
        <v>930</v>
      </c>
      <c r="J6" t="s">
        <v>930</v>
      </c>
      <c r="K6" t="s">
        <v>163</v>
      </c>
      <c r="L6" t="s">
        <v>930</v>
      </c>
      <c r="M6" t="s">
        <v>931</v>
      </c>
      <c r="N6" t="s">
        <v>68</v>
      </c>
      <c r="O6" t="s">
        <v>33</v>
      </c>
      <c r="P6" t="s">
        <v>34</v>
      </c>
      <c r="Q6">
        <v>1</v>
      </c>
      <c r="R6">
        <v>0</v>
      </c>
      <c r="S6" s="2" t="str">
        <f>IFERROR(VLOOKUP(C6,Sheet2!B:E,4,0),C6)</f>
        <v>一般产品</v>
      </c>
    </row>
    <row r="7" spans="1:19" x14ac:dyDescent="0.2">
      <c r="A7" t="s">
        <v>1527</v>
      </c>
      <c r="B7">
        <v>2499</v>
      </c>
      <c r="C7" t="s">
        <v>589</v>
      </c>
      <c r="D7" t="s">
        <v>971</v>
      </c>
      <c r="E7" t="s">
        <v>823</v>
      </c>
      <c r="F7" t="s">
        <v>1392</v>
      </c>
      <c r="G7" s="2" t="s">
        <v>1393</v>
      </c>
      <c r="H7" t="s">
        <v>28</v>
      </c>
      <c r="I7" t="s">
        <v>191</v>
      </c>
      <c r="J7" t="s">
        <v>192</v>
      </c>
      <c r="K7" t="s">
        <v>930</v>
      </c>
      <c r="L7" t="s">
        <v>930</v>
      </c>
      <c r="M7" t="s">
        <v>193</v>
      </c>
      <c r="N7" t="s">
        <v>194</v>
      </c>
      <c r="O7" t="s">
        <v>24</v>
      </c>
      <c r="P7" t="s">
        <v>25</v>
      </c>
      <c r="Q7">
        <v>1</v>
      </c>
      <c r="R7">
        <v>0</v>
      </c>
      <c r="S7" s="2" t="str">
        <f>IFERROR(VLOOKUP(C7,Sheet2!B:E,4,0),C7)</f>
        <v>优惠产品</v>
      </c>
    </row>
    <row r="8" spans="1:19" x14ac:dyDescent="0.2">
      <c r="A8" t="s">
        <v>1528</v>
      </c>
      <c r="B8">
        <v>2100</v>
      </c>
      <c r="C8" t="s">
        <v>26</v>
      </c>
      <c r="D8" t="s">
        <v>970</v>
      </c>
      <c r="E8" t="s">
        <v>1529</v>
      </c>
      <c r="F8" t="s">
        <v>635</v>
      </c>
      <c r="G8" s="2" t="s">
        <v>636</v>
      </c>
      <c r="H8" t="s">
        <v>18</v>
      </c>
      <c r="I8" t="s">
        <v>255</v>
      </c>
      <c r="J8" t="s">
        <v>256</v>
      </c>
      <c r="K8" t="s">
        <v>930</v>
      </c>
      <c r="L8" t="s">
        <v>930</v>
      </c>
      <c r="M8" t="s">
        <v>257</v>
      </c>
      <c r="N8" t="s">
        <v>47</v>
      </c>
      <c r="O8" t="s">
        <v>33</v>
      </c>
      <c r="P8" t="s">
        <v>34</v>
      </c>
      <c r="Q8">
        <v>1</v>
      </c>
      <c r="R8">
        <v>0</v>
      </c>
      <c r="S8" s="2" t="str">
        <f>IFERROR(VLOOKUP(C8,Sheet2!B:E,4,0),C8)</f>
        <v>一般产品</v>
      </c>
    </row>
    <row r="9" spans="1:19" x14ac:dyDescent="0.2">
      <c r="A9" t="s">
        <v>1530</v>
      </c>
      <c r="B9">
        <v>1799</v>
      </c>
      <c r="C9" t="s">
        <v>26</v>
      </c>
      <c r="D9" t="s">
        <v>971</v>
      </c>
      <c r="E9" t="s">
        <v>1531</v>
      </c>
      <c r="F9" t="s">
        <v>1018</v>
      </c>
      <c r="G9" s="2" t="s">
        <v>1019</v>
      </c>
      <c r="H9" t="s">
        <v>18</v>
      </c>
      <c r="I9" t="s">
        <v>40</v>
      </c>
      <c r="J9" t="s">
        <v>41</v>
      </c>
      <c r="K9" t="s">
        <v>930</v>
      </c>
      <c r="L9" t="s">
        <v>930</v>
      </c>
      <c r="M9" t="s">
        <v>42</v>
      </c>
      <c r="N9" t="s">
        <v>43</v>
      </c>
      <c r="O9" t="s">
        <v>24</v>
      </c>
      <c r="P9" t="s">
        <v>25</v>
      </c>
      <c r="Q9">
        <v>1</v>
      </c>
      <c r="R9">
        <v>0</v>
      </c>
      <c r="S9" s="2" t="str">
        <f>IFERROR(VLOOKUP(C9,Sheet2!B:E,4,0),C9)</f>
        <v>一般产品</v>
      </c>
    </row>
    <row r="10" spans="1:19" x14ac:dyDescent="0.2">
      <c r="A10" t="s">
        <v>1532</v>
      </c>
      <c r="B10">
        <v>1599</v>
      </c>
      <c r="C10" t="s">
        <v>589</v>
      </c>
      <c r="D10" t="s">
        <v>972</v>
      </c>
      <c r="E10" t="s">
        <v>1291</v>
      </c>
      <c r="F10" t="s">
        <v>1292</v>
      </c>
      <c r="G10" s="2" t="s">
        <v>1293</v>
      </c>
      <c r="H10" t="s">
        <v>18</v>
      </c>
      <c r="I10" t="s">
        <v>74</v>
      </c>
      <c r="J10" t="s">
        <v>75</v>
      </c>
      <c r="K10" t="s">
        <v>930</v>
      </c>
      <c r="L10" t="s">
        <v>930</v>
      </c>
      <c r="M10" t="s">
        <v>938</v>
      </c>
      <c r="N10" t="s">
        <v>44</v>
      </c>
      <c r="O10" t="s">
        <v>24</v>
      </c>
      <c r="P10" t="s">
        <v>25</v>
      </c>
      <c r="Q10">
        <v>1</v>
      </c>
      <c r="R10">
        <v>0</v>
      </c>
      <c r="S10" s="2" t="str">
        <f>IFERROR(VLOOKUP(C10,Sheet2!B:E,4,0),C10)</f>
        <v>优惠产品</v>
      </c>
    </row>
    <row r="11" spans="1:19" x14ac:dyDescent="0.2">
      <c r="A11" t="s">
        <v>1533</v>
      </c>
      <c r="B11">
        <v>3098</v>
      </c>
      <c r="C11" t="s">
        <v>26</v>
      </c>
      <c r="D11" t="s">
        <v>970</v>
      </c>
      <c r="E11" t="s">
        <v>1534</v>
      </c>
      <c r="F11" t="s">
        <v>1285</v>
      </c>
      <c r="G11" s="2" t="s">
        <v>1286</v>
      </c>
      <c r="H11" t="s">
        <v>18</v>
      </c>
      <c r="I11" t="s">
        <v>167</v>
      </c>
      <c r="J11" t="s">
        <v>168</v>
      </c>
      <c r="K11" t="s">
        <v>930</v>
      </c>
      <c r="L11" t="s">
        <v>930</v>
      </c>
      <c r="M11" t="s">
        <v>937</v>
      </c>
      <c r="N11" t="s">
        <v>68</v>
      </c>
      <c r="O11" t="s">
        <v>33</v>
      </c>
      <c r="P11" t="s">
        <v>34</v>
      </c>
      <c r="Q11">
        <v>1</v>
      </c>
      <c r="R11">
        <v>0</v>
      </c>
      <c r="S11" s="2" t="str">
        <f>IFERROR(VLOOKUP(C11,Sheet2!B:E,4,0),C11)</f>
        <v>一般产品</v>
      </c>
    </row>
    <row r="12" spans="1:19" x14ac:dyDescent="0.2">
      <c r="A12" t="s">
        <v>1535</v>
      </c>
      <c r="B12">
        <v>3280</v>
      </c>
      <c r="C12" t="s">
        <v>589</v>
      </c>
      <c r="D12" t="s">
        <v>971</v>
      </c>
      <c r="E12" t="s">
        <v>1536</v>
      </c>
      <c r="F12" t="s">
        <v>1537</v>
      </c>
      <c r="G12" s="2" t="s">
        <v>1538</v>
      </c>
      <c r="H12" t="s">
        <v>18</v>
      </c>
      <c r="I12" t="s">
        <v>930</v>
      </c>
      <c r="J12" t="s">
        <v>930</v>
      </c>
      <c r="K12" t="s">
        <v>1225</v>
      </c>
      <c r="L12" t="s">
        <v>930</v>
      </c>
      <c r="M12" t="s">
        <v>1226</v>
      </c>
      <c r="N12" t="s">
        <v>44</v>
      </c>
      <c r="O12" t="s">
        <v>24</v>
      </c>
      <c r="P12" t="s">
        <v>25</v>
      </c>
      <c r="Q12">
        <v>1</v>
      </c>
      <c r="R12">
        <v>0</v>
      </c>
      <c r="S12" s="2" t="str">
        <f>IFERROR(VLOOKUP(C12,Sheet2!B:E,4,0),C12)</f>
        <v>优惠产品</v>
      </c>
    </row>
    <row r="13" spans="1:19" x14ac:dyDescent="0.2">
      <c r="A13" t="s">
        <v>1539</v>
      </c>
      <c r="B13">
        <v>4000</v>
      </c>
      <c r="C13" t="s">
        <v>26</v>
      </c>
      <c r="D13" t="s">
        <v>50</v>
      </c>
      <c r="E13" t="s">
        <v>1540</v>
      </c>
      <c r="F13" t="s">
        <v>997</v>
      </c>
      <c r="G13" s="2" t="s">
        <v>998</v>
      </c>
      <c r="H13" t="s">
        <v>18</v>
      </c>
      <c r="I13" t="s">
        <v>404</v>
      </c>
      <c r="J13" t="s">
        <v>405</v>
      </c>
      <c r="K13" t="s">
        <v>930</v>
      </c>
      <c r="L13" t="s">
        <v>930</v>
      </c>
      <c r="M13" t="s">
        <v>406</v>
      </c>
      <c r="N13" t="s">
        <v>55</v>
      </c>
      <c r="O13" t="s">
        <v>33</v>
      </c>
      <c r="P13" t="s">
        <v>34</v>
      </c>
      <c r="Q13">
        <v>1</v>
      </c>
      <c r="R13">
        <v>0</v>
      </c>
      <c r="S13" s="2" t="str">
        <f>IFERROR(VLOOKUP(C13,Sheet2!B:E,4,0),C13)</f>
        <v>一般产品</v>
      </c>
    </row>
    <row r="14" spans="1:19" x14ac:dyDescent="0.2">
      <c r="A14" t="s">
        <v>1541</v>
      </c>
      <c r="B14">
        <v>3498</v>
      </c>
      <c r="C14" t="s">
        <v>575</v>
      </c>
      <c r="D14" t="s">
        <v>970</v>
      </c>
      <c r="E14" t="s">
        <v>1109</v>
      </c>
      <c r="F14" t="s">
        <v>1481</v>
      </c>
      <c r="G14" s="2" t="s">
        <v>1482</v>
      </c>
      <c r="H14" t="s">
        <v>18</v>
      </c>
      <c r="I14" t="s">
        <v>186</v>
      </c>
      <c r="J14" t="s">
        <v>187</v>
      </c>
      <c r="K14" t="s">
        <v>930</v>
      </c>
      <c r="L14" t="s">
        <v>930</v>
      </c>
      <c r="M14" t="s">
        <v>188</v>
      </c>
      <c r="N14" t="s">
        <v>136</v>
      </c>
      <c r="O14" t="s">
        <v>95</v>
      </c>
      <c r="P14" t="s">
        <v>90</v>
      </c>
      <c r="Q14">
        <v>1</v>
      </c>
      <c r="R14">
        <v>0</v>
      </c>
      <c r="S14" s="2" t="str">
        <f>IFERROR(VLOOKUP(C14,Sheet2!B:E,4,0),C14)</f>
        <v>优惠产品</v>
      </c>
    </row>
    <row r="15" spans="1:19" x14ac:dyDescent="0.2">
      <c r="A15" t="s">
        <v>1542</v>
      </c>
      <c r="B15">
        <v>1598</v>
      </c>
      <c r="C15" t="s">
        <v>26</v>
      </c>
      <c r="D15" t="s">
        <v>971</v>
      </c>
      <c r="E15" t="s">
        <v>1116</v>
      </c>
      <c r="F15" t="s">
        <v>480</v>
      </c>
      <c r="G15" s="2" t="s">
        <v>481</v>
      </c>
      <c r="H15" t="s">
        <v>18</v>
      </c>
      <c r="I15" t="s">
        <v>260</v>
      </c>
      <c r="J15" t="s">
        <v>261</v>
      </c>
      <c r="K15" t="s">
        <v>930</v>
      </c>
      <c r="L15" t="s">
        <v>930</v>
      </c>
      <c r="M15" t="s">
        <v>262</v>
      </c>
      <c r="N15" t="s">
        <v>45</v>
      </c>
      <c r="O15" t="s">
        <v>48</v>
      </c>
      <c r="P15" t="s">
        <v>49</v>
      </c>
      <c r="Q15">
        <v>1</v>
      </c>
      <c r="R15">
        <v>0</v>
      </c>
      <c r="S15" s="2" t="str">
        <f>IFERROR(VLOOKUP(C15,Sheet2!B:E,4,0),C15)</f>
        <v>一般产品</v>
      </c>
    </row>
    <row r="16" spans="1:19" x14ac:dyDescent="0.2">
      <c r="A16" t="s">
        <v>1543</v>
      </c>
      <c r="B16">
        <v>3498</v>
      </c>
      <c r="C16" t="s">
        <v>589</v>
      </c>
      <c r="D16" t="s">
        <v>726</v>
      </c>
      <c r="E16" t="s">
        <v>1544</v>
      </c>
      <c r="F16" t="s">
        <v>1545</v>
      </c>
      <c r="G16" s="2" t="s">
        <v>1546</v>
      </c>
      <c r="H16" t="s">
        <v>18</v>
      </c>
      <c r="I16" t="s">
        <v>379</v>
      </c>
      <c r="J16" t="s">
        <v>380</v>
      </c>
      <c r="K16" t="s">
        <v>930</v>
      </c>
      <c r="L16" t="s">
        <v>930</v>
      </c>
      <c r="M16" t="s">
        <v>381</v>
      </c>
      <c r="N16" t="s">
        <v>46</v>
      </c>
      <c r="O16" t="s">
        <v>63</v>
      </c>
      <c r="P16" t="s">
        <v>34</v>
      </c>
      <c r="Q16">
        <v>1</v>
      </c>
      <c r="R16">
        <v>0</v>
      </c>
      <c r="S16" s="2" t="str">
        <f>IFERROR(VLOOKUP(C16,Sheet2!B:E,4,0),C16)</f>
        <v>优惠产品</v>
      </c>
    </row>
    <row r="17" spans="1:19" x14ac:dyDescent="0.2">
      <c r="A17" t="s">
        <v>1547</v>
      </c>
      <c r="B17">
        <v>3800</v>
      </c>
      <c r="C17" t="s">
        <v>26</v>
      </c>
      <c r="D17" t="s">
        <v>726</v>
      </c>
      <c r="E17" t="s">
        <v>1548</v>
      </c>
      <c r="F17" t="s">
        <v>1150</v>
      </c>
      <c r="G17" s="2" t="s">
        <v>1151</v>
      </c>
      <c r="H17" t="s">
        <v>18</v>
      </c>
      <c r="I17" t="s">
        <v>260</v>
      </c>
      <c r="J17" t="s">
        <v>261</v>
      </c>
      <c r="K17" t="s">
        <v>930</v>
      </c>
      <c r="L17" t="s">
        <v>930</v>
      </c>
      <c r="M17" t="s">
        <v>262</v>
      </c>
      <c r="N17" t="s">
        <v>45</v>
      </c>
      <c r="O17" t="s">
        <v>48</v>
      </c>
      <c r="P17" t="s">
        <v>49</v>
      </c>
      <c r="Q17">
        <v>1</v>
      </c>
      <c r="R17">
        <v>0</v>
      </c>
      <c r="S17" s="2" t="str">
        <f>IFERROR(VLOOKUP(C17,Sheet2!B:E,4,0),C17)</f>
        <v>一般产品</v>
      </c>
    </row>
    <row r="18" spans="1:19" x14ac:dyDescent="0.2">
      <c r="A18" t="s">
        <v>1549</v>
      </c>
      <c r="B18">
        <v>4400</v>
      </c>
      <c r="C18" t="s">
        <v>26</v>
      </c>
      <c r="D18" t="s">
        <v>970</v>
      </c>
      <c r="E18" t="s">
        <v>1072</v>
      </c>
      <c r="F18" t="s">
        <v>532</v>
      </c>
      <c r="G18" s="2" t="s">
        <v>533</v>
      </c>
      <c r="H18" t="s">
        <v>28</v>
      </c>
      <c r="I18" t="s">
        <v>255</v>
      </c>
      <c r="J18" t="s">
        <v>256</v>
      </c>
      <c r="K18" t="s">
        <v>930</v>
      </c>
      <c r="L18" t="s">
        <v>930</v>
      </c>
      <c r="M18" t="s">
        <v>257</v>
      </c>
      <c r="N18" t="s">
        <v>47</v>
      </c>
      <c r="O18" t="s">
        <v>33</v>
      </c>
      <c r="P18" t="s">
        <v>34</v>
      </c>
      <c r="Q18">
        <v>1</v>
      </c>
      <c r="R18">
        <v>0</v>
      </c>
      <c r="S18" s="2" t="str">
        <f>IFERROR(VLOOKUP(C18,Sheet2!B:E,4,0),C18)</f>
        <v>一般产品</v>
      </c>
    </row>
    <row r="19" spans="1:19" x14ac:dyDescent="0.2">
      <c r="A19" t="s">
        <v>1550</v>
      </c>
      <c r="B19">
        <v>1800</v>
      </c>
      <c r="C19" t="s">
        <v>26</v>
      </c>
      <c r="D19" t="s">
        <v>50</v>
      </c>
      <c r="E19" t="s">
        <v>749</v>
      </c>
      <c r="F19" t="s">
        <v>1288</v>
      </c>
      <c r="G19" s="2" t="s">
        <v>1289</v>
      </c>
      <c r="H19" t="s">
        <v>28</v>
      </c>
      <c r="I19" t="s">
        <v>408</v>
      </c>
      <c r="J19" t="s">
        <v>1234</v>
      </c>
      <c r="K19" t="s">
        <v>930</v>
      </c>
      <c r="L19" t="s">
        <v>930</v>
      </c>
      <c r="M19" t="s">
        <v>1235</v>
      </c>
      <c r="N19" t="s">
        <v>55</v>
      </c>
      <c r="O19" t="s">
        <v>33</v>
      </c>
      <c r="P19" t="s">
        <v>34</v>
      </c>
      <c r="Q19">
        <v>1</v>
      </c>
      <c r="R19">
        <v>0</v>
      </c>
      <c r="S19" s="2" t="str">
        <f>IFERROR(VLOOKUP(C19,Sheet2!B:E,4,0),C19)</f>
        <v>一般产品</v>
      </c>
    </row>
    <row r="20" spans="1:19" x14ac:dyDescent="0.2">
      <c r="A20" t="s">
        <v>1551</v>
      </c>
      <c r="B20">
        <v>5000</v>
      </c>
      <c r="C20" t="s">
        <v>26</v>
      </c>
      <c r="D20" t="s">
        <v>50</v>
      </c>
      <c r="E20" t="s">
        <v>943</v>
      </c>
      <c r="F20" t="s">
        <v>1003</v>
      </c>
      <c r="G20" s="2" t="s">
        <v>1004</v>
      </c>
      <c r="H20" t="s">
        <v>28</v>
      </c>
      <c r="I20" t="s">
        <v>930</v>
      </c>
      <c r="J20" t="s">
        <v>930</v>
      </c>
      <c r="K20" t="s">
        <v>235</v>
      </c>
      <c r="L20" t="s">
        <v>930</v>
      </c>
      <c r="M20" t="s">
        <v>236</v>
      </c>
      <c r="N20" t="s">
        <v>55</v>
      </c>
      <c r="O20" t="s">
        <v>33</v>
      </c>
      <c r="P20" t="s">
        <v>34</v>
      </c>
      <c r="Q20">
        <v>1</v>
      </c>
      <c r="R20">
        <v>0</v>
      </c>
      <c r="S20" s="2" t="str">
        <f>IFERROR(VLOOKUP(C20,Sheet2!B:E,4,0),C20)</f>
        <v>一般产品</v>
      </c>
    </row>
    <row r="21" spans="1:19" x14ac:dyDescent="0.2">
      <c r="A21" t="s">
        <v>1552</v>
      </c>
      <c r="B21">
        <v>1999</v>
      </c>
      <c r="C21" t="s">
        <v>26</v>
      </c>
      <c r="D21" t="s">
        <v>970</v>
      </c>
      <c r="E21" t="s">
        <v>1553</v>
      </c>
      <c r="F21" t="s">
        <v>1183</v>
      </c>
      <c r="G21" s="2" t="s">
        <v>1184</v>
      </c>
      <c r="H21" t="s">
        <v>18</v>
      </c>
      <c r="I21" t="s">
        <v>401</v>
      </c>
      <c r="J21" t="s">
        <v>402</v>
      </c>
      <c r="K21" t="s">
        <v>930</v>
      </c>
      <c r="L21" t="s">
        <v>930</v>
      </c>
      <c r="M21" t="s">
        <v>403</v>
      </c>
      <c r="N21" t="s">
        <v>68</v>
      </c>
      <c r="O21" t="s">
        <v>33</v>
      </c>
      <c r="P21" t="s">
        <v>34</v>
      </c>
      <c r="Q21">
        <v>1</v>
      </c>
      <c r="R21">
        <v>0</v>
      </c>
      <c r="S21" s="2" t="str">
        <f>IFERROR(VLOOKUP(C21,Sheet2!B:E,4,0),C21)</f>
        <v>一般产品</v>
      </c>
    </row>
    <row r="22" spans="1:19" x14ac:dyDescent="0.2">
      <c r="A22" t="s">
        <v>1556</v>
      </c>
      <c r="B22">
        <v>1400</v>
      </c>
      <c r="C22" t="s">
        <v>589</v>
      </c>
      <c r="D22" t="s">
        <v>970</v>
      </c>
      <c r="E22" t="s">
        <v>1557</v>
      </c>
      <c r="F22" t="s">
        <v>1558</v>
      </c>
      <c r="G22" s="2" t="s">
        <v>1559</v>
      </c>
      <c r="H22" t="s">
        <v>28</v>
      </c>
      <c r="I22" t="s">
        <v>490</v>
      </c>
      <c r="J22" t="s">
        <v>491</v>
      </c>
      <c r="K22" t="s">
        <v>930</v>
      </c>
      <c r="L22" t="s">
        <v>930</v>
      </c>
      <c r="M22" t="s">
        <v>492</v>
      </c>
      <c r="N22" t="s">
        <v>146</v>
      </c>
      <c r="O22" t="s">
        <v>33</v>
      </c>
      <c r="P22" t="s">
        <v>34</v>
      </c>
      <c r="Q22">
        <v>1</v>
      </c>
      <c r="R22">
        <v>0</v>
      </c>
      <c r="S22" s="2" t="str">
        <f>IFERROR(VLOOKUP(C22,Sheet2!B:E,4,0),C22)</f>
        <v>优惠产品</v>
      </c>
    </row>
    <row r="23" spans="1:19" x14ac:dyDescent="0.2">
      <c r="A23" t="s">
        <v>1560</v>
      </c>
      <c r="B23">
        <v>3980</v>
      </c>
      <c r="C23" t="s">
        <v>575</v>
      </c>
      <c r="D23" t="s">
        <v>971</v>
      </c>
      <c r="E23" t="s">
        <v>150</v>
      </c>
      <c r="F23" t="s">
        <v>691</v>
      </c>
      <c r="G23" s="2" t="s">
        <v>692</v>
      </c>
      <c r="H23" t="s">
        <v>18</v>
      </c>
      <c r="I23" t="s">
        <v>151</v>
      </c>
      <c r="J23" t="s">
        <v>152</v>
      </c>
      <c r="K23" t="s">
        <v>930</v>
      </c>
      <c r="L23" t="s">
        <v>930</v>
      </c>
      <c r="M23" t="s">
        <v>153</v>
      </c>
      <c r="N23" t="s">
        <v>61</v>
      </c>
      <c r="O23" t="s">
        <v>129</v>
      </c>
      <c r="P23" t="s">
        <v>25</v>
      </c>
      <c r="Q23">
        <v>1</v>
      </c>
      <c r="R23">
        <v>0</v>
      </c>
      <c r="S23" s="2" t="str">
        <f>IFERROR(VLOOKUP(C23,Sheet2!B:E,4,0),C23)</f>
        <v>优惠产品</v>
      </c>
    </row>
    <row r="24" spans="1:19" x14ac:dyDescent="0.2">
      <c r="A24" t="s">
        <v>1561</v>
      </c>
      <c r="B24">
        <v>4400</v>
      </c>
      <c r="C24" t="s">
        <v>26</v>
      </c>
      <c r="D24" t="s">
        <v>970</v>
      </c>
      <c r="E24" t="s">
        <v>1480</v>
      </c>
      <c r="F24" t="s">
        <v>532</v>
      </c>
      <c r="G24" s="2" t="s">
        <v>533</v>
      </c>
      <c r="H24" t="s">
        <v>28</v>
      </c>
      <c r="I24" t="s">
        <v>255</v>
      </c>
      <c r="J24" t="s">
        <v>256</v>
      </c>
      <c r="K24" t="s">
        <v>930</v>
      </c>
      <c r="L24" t="s">
        <v>930</v>
      </c>
      <c r="M24" t="s">
        <v>257</v>
      </c>
      <c r="N24" t="s">
        <v>47</v>
      </c>
      <c r="O24" t="s">
        <v>33</v>
      </c>
      <c r="P24" t="s">
        <v>34</v>
      </c>
      <c r="Q24">
        <v>1</v>
      </c>
      <c r="R24">
        <v>0</v>
      </c>
      <c r="S24" s="2" t="str">
        <f>IFERROR(VLOOKUP(C24,Sheet2!B:E,4,0),C24)</f>
        <v>一般产品</v>
      </c>
    </row>
    <row r="25" spans="1:19" x14ac:dyDescent="0.2">
      <c r="A25" t="s">
        <v>1562</v>
      </c>
      <c r="B25">
        <v>3000</v>
      </c>
      <c r="C25" t="s">
        <v>26</v>
      </c>
      <c r="D25" t="s">
        <v>970</v>
      </c>
      <c r="E25" t="s">
        <v>1563</v>
      </c>
      <c r="F25" t="s">
        <v>1564</v>
      </c>
      <c r="G25" s="2" t="s">
        <v>556</v>
      </c>
      <c r="H25" t="s">
        <v>18</v>
      </c>
      <c r="I25" t="s">
        <v>169</v>
      </c>
      <c r="J25" t="s">
        <v>170</v>
      </c>
      <c r="K25" t="s">
        <v>930</v>
      </c>
      <c r="L25" t="s">
        <v>930</v>
      </c>
      <c r="M25" t="s">
        <v>171</v>
      </c>
      <c r="N25" t="s">
        <v>38</v>
      </c>
      <c r="O25" t="s">
        <v>39</v>
      </c>
      <c r="P25" t="s">
        <v>25</v>
      </c>
      <c r="Q25">
        <v>1</v>
      </c>
      <c r="R25">
        <v>0</v>
      </c>
      <c r="S25" s="2" t="str">
        <f>IFERROR(VLOOKUP(C25,Sheet2!B:E,4,0),C25)</f>
        <v>一般产品</v>
      </c>
    </row>
    <row r="26" spans="1:19" x14ac:dyDescent="0.2">
      <c r="A26" t="s">
        <v>1569</v>
      </c>
      <c r="B26">
        <v>1498</v>
      </c>
      <c r="C26" t="s">
        <v>26</v>
      </c>
      <c r="D26" t="s">
        <v>970</v>
      </c>
      <c r="E26" t="s">
        <v>1570</v>
      </c>
      <c r="F26" t="s">
        <v>284</v>
      </c>
      <c r="G26" s="2" t="s">
        <v>285</v>
      </c>
      <c r="H26" t="s">
        <v>28</v>
      </c>
      <c r="I26" t="s">
        <v>125</v>
      </c>
      <c r="J26" t="s">
        <v>126</v>
      </c>
      <c r="K26" t="s">
        <v>930</v>
      </c>
      <c r="L26" t="s">
        <v>930</v>
      </c>
      <c r="M26" t="s">
        <v>127</v>
      </c>
      <c r="N26" t="s">
        <v>32</v>
      </c>
      <c r="O26" t="s">
        <v>33</v>
      </c>
      <c r="P26" t="s">
        <v>34</v>
      </c>
      <c r="Q26">
        <v>1</v>
      </c>
      <c r="R26">
        <v>0</v>
      </c>
      <c r="S26" s="2" t="str">
        <f>IFERROR(VLOOKUP(C26,Sheet2!B:E,4,0),C26)</f>
        <v>一般产品</v>
      </c>
    </row>
    <row r="27" spans="1:19" x14ac:dyDescent="0.2">
      <c r="A27" t="s">
        <v>1571</v>
      </c>
      <c r="B27">
        <v>3000</v>
      </c>
      <c r="C27" t="s">
        <v>26</v>
      </c>
      <c r="D27" t="s">
        <v>50</v>
      </c>
      <c r="E27" t="s">
        <v>652</v>
      </c>
      <c r="F27" t="s">
        <v>1572</v>
      </c>
      <c r="G27" s="2" t="s">
        <v>1573</v>
      </c>
      <c r="H27" t="s">
        <v>18</v>
      </c>
      <c r="I27" t="s">
        <v>56</v>
      </c>
      <c r="J27" t="s">
        <v>57</v>
      </c>
      <c r="K27" t="s">
        <v>930</v>
      </c>
      <c r="L27" t="s">
        <v>930</v>
      </c>
      <c r="M27" t="s">
        <v>58</v>
      </c>
      <c r="N27" t="s">
        <v>108</v>
      </c>
      <c r="O27" t="s">
        <v>33</v>
      </c>
      <c r="P27" t="s">
        <v>34</v>
      </c>
      <c r="Q27">
        <v>1</v>
      </c>
      <c r="R27">
        <v>0</v>
      </c>
      <c r="S27" s="2" t="str">
        <f>IFERROR(VLOOKUP(C27,Sheet2!B:E,4,0),C27)</f>
        <v>一般产品</v>
      </c>
    </row>
    <row r="28" spans="1:19" x14ac:dyDescent="0.2">
      <c r="A28" t="s">
        <v>1574</v>
      </c>
      <c r="B28">
        <v>3499</v>
      </c>
      <c r="C28" t="s">
        <v>589</v>
      </c>
      <c r="D28" t="s">
        <v>972</v>
      </c>
      <c r="E28" t="s">
        <v>1466</v>
      </c>
      <c r="F28" t="s">
        <v>1381</v>
      </c>
      <c r="G28" s="2" t="s">
        <v>1382</v>
      </c>
      <c r="H28" t="s">
        <v>18</v>
      </c>
      <c r="I28" t="s">
        <v>930</v>
      </c>
      <c r="J28" t="s">
        <v>930</v>
      </c>
      <c r="K28" t="s">
        <v>448</v>
      </c>
      <c r="L28" t="s">
        <v>930</v>
      </c>
      <c r="M28" t="s">
        <v>449</v>
      </c>
      <c r="N28" t="s">
        <v>194</v>
      </c>
      <c r="O28" t="s">
        <v>24</v>
      </c>
      <c r="P28" t="s">
        <v>25</v>
      </c>
      <c r="Q28">
        <v>1</v>
      </c>
      <c r="R28">
        <v>0</v>
      </c>
      <c r="S28" s="2" t="str">
        <f>IFERROR(VLOOKUP(C28,Sheet2!B:E,4,0),C28)</f>
        <v>优惠产品</v>
      </c>
    </row>
    <row r="29" spans="1:19" x14ac:dyDescent="0.2">
      <c r="A29" t="s">
        <v>1575</v>
      </c>
      <c r="B29">
        <v>2200</v>
      </c>
      <c r="C29" t="s">
        <v>26</v>
      </c>
      <c r="D29" t="s">
        <v>50</v>
      </c>
      <c r="E29" t="s">
        <v>413</v>
      </c>
      <c r="F29" t="s">
        <v>1171</v>
      </c>
      <c r="G29" s="2" t="s">
        <v>1172</v>
      </c>
      <c r="H29" t="s">
        <v>18</v>
      </c>
      <c r="I29" t="s">
        <v>121</v>
      </c>
      <c r="J29" t="s">
        <v>122</v>
      </c>
      <c r="K29" t="s">
        <v>930</v>
      </c>
      <c r="L29" t="s">
        <v>930</v>
      </c>
      <c r="M29" t="s">
        <v>123</v>
      </c>
      <c r="N29" t="s">
        <v>55</v>
      </c>
      <c r="O29" t="s">
        <v>33</v>
      </c>
      <c r="P29" t="s">
        <v>34</v>
      </c>
      <c r="Q29">
        <v>1</v>
      </c>
      <c r="R29">
        <v>0</v>
      </c>
      <c r="S29" s="2" t="str">
        <f>IFERROR(VLOOKUP(C29,Sheet2!B:E,4,0),C29)</f>
        <v>一般产品</v>
      </c>
    </row>
    <row r="30" spans="1:19" x14ac:dyDescent="0.2">
      <c r="A30" t="s">
        <v>1576</v>
      </c>
      <c r="B30">
        <v>5300</v>
      </c>
      <c r="C30" t="s">
        <v>26</v>
      </c>
      <c r="D30" t="s">
        <v>970</v>
      </c>
      <c r="E30" t="s">
        <v>766</v>
      </c>
      <c r="F30" t="s">
        <v>754</v>
      </c>
      <c r="G30" s="2" t="s">
        <v>755</v>
      </c>
      <c r="H30" t="s">
        <v>18</v>
      </c>
      <c r="I30" t="s">
        <v>159</v>
      </c>
      <c r="J30" t="s">
        <v>160</v>
      </c>
      <c r="K30" t="s">
        <v>930</v>
      </c>
      <c r="L30" t="s">
        <v>930</v>
      </c>
      <c r="M30" t="s">
        <v>161</v>
      </c>
      <c r="N30" t="s">
        <v>55</v>
      </c>
      <c r="O30" t="s">
        <v>33</v>
      </c>
      <c r="P30" t="s">
        <v>34</v>
      </c>
      <c r="Q30">
        <v>1</v>
      </c>
      <c r="R30">
        <v>0</v>
      </c>
      <c r="S30" s="2" t="str">
        <f>IFERROR(VLOOKUP(C30,Sheet2!B:E,4,0),C30)</f>
        <v>一般产品</v>
      </c>
    </row>
    <row r="31" spans="1:19" x14ac:dyDescent="0.2">
      <c r="A31" t="s">
        <v>1577</v>
      </c>
      <c r="B31">
        <v>4200</v>
      </c>
      <c r="C31" t="s">
        <v>26</v>
      </c>
      <c r="D31" t="s">
        <v>50</v>
      </c>
      <c r="E31" t="s">
        <v>1418</v>
      </c>
      <c r="F31" t="s">
        <v>1061</v>
      </c>
      <c r="G31" s="2" t="s">
        <v>1062</v>
      </c>
      <c r="H31" t="s">
        <v>18</v>
      </c>
      <c r="I31" t="s">
        <v>97</v>
      </c>
      <c r="J31" t="s">
        <v>98</v>
      </c>
      <c r="K31" t="s">
        <v>930</v>
      </c>
      <c r="L31" t="s">
        <v>930</v>
      </c>
      <c r="M31" t="s">
        <v>99</v>
      </c>
      <c r="N31" t="s">
        <v>55</v>
      </c>
      <c r="O31" t="s">
        <v>33</v>
      </c>
      <c r="P31" t="s">
        <v>34</v>
      </c>
      <c r="Q31">
        <v>1</v>
      </c>
      <c r="R31">
        <v>0</v>
      </c>
      <c r="S31" s="2" t="str">
        <f>IFERROR(VLOOKUP(C31,Sheet2!B:E,4,0),C31)</f>
        <v>一般产品</v>
      </c>
    </row>
    <row r="32" spans="1:19" x14ac:dyDescent="0.2">
      <c r="A32" t="s">
        <v>1578</v>
      </c>
      <c r="B32">
        <v>3900</v>
      </c>
      <c r="C32" t="s">
        <v>26</v>
      </c>
      <c r="D32" t="s">
        <v>971</v>
      </c>
      <c r="E32" t="s">
        <v>1579</v>
      </c>
      <c r="F32" t="s">
        <v>694</v>
      </c>
      <c r="G32" s="2" t="s">
        <v>695</v>
      </c>
      <c r="H32" t="s">
        <v>18</v>
      </c>
      <c r="I32" t="s">
        <v>934</v>
      </c>
      <c r="J32" t="s">
        <v>935</v>
      </c>
      <c r="K32" t="s">
        <v>930</v>
      </c>
      <c r="L32" t="s">
        <v>930</v>
      </c>
      <c r="M32" t="s">
        <v>936</v>
      </c>
      <c r="N32" t="s">
        <v>45</v>
      </c>
      <c r="O32" t="s">
        <v>48</v>
      </c>
      <c r="P32" t="s">
        <v>49</v>
      </c>
      <c r="Q32">
        <v>1</v>
      </c>
      <c r="R32">
        <v>0</v>
      </c>
      <c r="S32" s="2" t="str">
        <f>IFERROR(VLOOKUP(C32,Sheet2!B:E,4,0),C32)</f>
        <v>一般产品</v>
      </c>
    </row>
    <row r="33" spans="1:19" x14ac:dyDescent="0.2">
      <c r="A33" t="s">
        <v>1580</v>
      </c>
      <c r="B33">
        <v>4000</v>
      </c>
      <c r="C33" t="s">
        <v>26</v>
      </c>
      <c r="D33" t="s">
        <v>970</v>
      </c>
      <c r="E33" t="s">
        <v>407</v>
      </c>
      <c r="F33" t="s">
        <v>1268</v>
      </c>
      <c r="G33" s="2" t="s">
        <v>1269</v>
      </c>
      <c r="H33" t="s">
        <v>18</v>
      </c>
      <c r="I33" t="s">
        <v>408</v>
      </c>
      <c r="J33" t="s">
        <v>1234</v>
      </c>
      <c r="K33" t="s">
        <v>930</v>
      </c>
      <c r="L33" t="s">
        <v>930</v>
      </c>
      <c r="M33" t="s">
        <v>1235</v>
      </c>
      <c r="N33" t="s">
        <v>55</v>
      </c>
      <c r="O33" t="s">
        <v>33</v>
      </c>
      <c r="P33" t="s">
        <v>34</v>
      </c>
      <c r="Q33">
        <v>1</v>
      </c>
      <c r="R33">
        <v>0</v>
      </c>
      <c r="S33" s="2" t="str">
        <f>IFERROR(VLOOKUP(C33,Sheet2!B:E,4,0),C33)</f>
        <v>一般产品</v>
      </c>
    </row>
    <row r="34" spans="1:19" x14ac:dyDescent="0.2">
      <c r="A34" t="s">
        <v>1581</v>
      </c>
      <c r="B34">
        <v>1500</v>
      </c>
      <c r="C34" t="s">
        <v>26</v>
      </c>
      <c r="D34" t="s">
        <v>970</v>
      </c>
      <c r="E34" t="s">
        <v>1582</v>
      </c>
      <c r="F34" t="s">
        <v>1583</v>
      </c>
      <c r="G34" s="2" t="s">
        <v>1584</v>
      </c>
      <c r="H34" t="s">
        <v>18</v>
      </c>
      <c r="I34" t="s">
        <v>930</v>
      </c>
      <c r="J34" t="s">
        <v>930</v>
      </c>
      <c r="K34" t="s">
        <v>842</v>
      </c>
      <c r="L34" t="s">
        <v>930</v>
      </c>
      <c r="M34" t="s">
        <v>932</v>
      </c>
      <c r="N34" t="s">
        <v>85</v>
      </c>
      <c r="O34" t="s">
        <v>33</v>
      </c>
      <c r="P34" t="s">
        <v>34</v>
      </c>
      <c r="Q34">
        <v>1</v>
      </c>
      <c r="R34">
        <v>0</v>
      </c>
      <c r="S34" s="2" t="str">
        <f>IFERROR(VLOOKUP(C34,Sheet2!B:E,4,0),C34)</f>
        <v>一般产品</v>
      </c>
    </row>
    <row r="35" spans="1:19" x14ac:dyDescent="0.2">
      <c r="A35" t="s">
        <v>1585</v>
      </c>
      <c r="B35">
        <v>2500</v>
      </c>
      <c r="C35" t="s">
        <v>26</v>
      </c>
      <c r="D35" t="s">
        <v>50</v>
      </c>
      <c r="E35" t="s">
        <v>1586</v>
      </c>
      <c r="F35" t="s">
        <v>696</v>
      </c>
      <c r="G35" s="2" t="s">
        <v>697</v>
      </c>
      <c r="H35" t="s">
        <v>18</v>
      </c>
      <c r="I35" t="s">
        <v>221</v>
      </c>
      <c r="J35" t="s">
        <v>222</v>
      </c>
      <c r="K35" t="s">
        <v>930</v>
      </c>
      <c r="L35" t="s">
        <v>930</v>
      </c>
      <c r="M35" t="s">
        <v>223</v>
      </c>
      <c r="N35" t="s">
        <v>55</v>
      </c>
      <c r="O35" t="s">
        <v>33</v>
      </c>
      <c r="P35" t="s">
        <v>34</v>
      </c>
      <c r="Q35">
        <v>1</v>
      </c>
      <c r="R35">
        <v>0</v>
      </c>
      <c r="S35" s="2" t="str">
        <f>IFERROR(VLOOKUP(C35,Sheet2!B:E,4,0),C35)</f>
        <v>一般产品</v>
      </c>
    </row>
    <row r="36" spans="1:19" x14ac:dyDescent="0.2">
      <c r="A36" t="s">
        <v>1587</v>
      </c>
      <c r="B36">
        <v>2300</v>
      </c>
      <c r="C36" t="s">
        <v>26</v>
      </c>
      <c r="D36" t="s">
        <v>50</v>
      </c>
      <c r="E36" t="s">
        <v>409</v>
      </c>
      <c r="F36" t="s">
        <v>1414</v>
      </c>
      <c r="G36" s="2" t="s">
        <v>1415</v>
      </c>
      <c r="H36" t="s">
        <v>28</v>
      </c>
      <c r="I36" t="s">
        <v>221</v>
      </c>
      <c r="J36" t="s">
        <v>222</v>
      </c>
      <c r="K36" t="s">
        <v>930</v>
      </c>
      <c r="L36" t="s">
        <v>930</v>
      </c>
      <c r="M36" t="s">
        <v>223</v>
      </c>
      <c r="N36" t="s">
        <v>55</v>
      </c>
      <c r="O36" t="s">
        <v>33</v>
      </c>
      <c r="P36" t="s">
        <v>34</v>
      </c>
      <c r="Q36">
        <v>1</v>
      </c>
      <c r="R36">
        <v>0</v>
      </c>
      <c r="S36" s="2" t="str">
        <f>IFERROR(VLOOKUP(C36,Sheet2!B:E,4,0),C36)</f>
        <v>一般产品</v>
      </c>
    </row>
    <row r="37" spans="1:19" x14ac:dyDescent="0.2">
      <c r="A37" t="s">
        <v>1588</v>
      </c>
      <c r="B37">
        <v>5000</v>
      </c>
      <c r="C37" t="s">
        <v>575</v>
      </c>
      <c r="D37" t="s">
        <v>726</v>
      </c>
      <c r="E37" t="s">
        <v>1589</v>
      </c>
      <c r="F37" t="s">
        <v>1176</v>
      </c>
      <c r="G37" s="2" t="s">
        <v>1177</v>
      </c>
      <c r="H37" t="s">
        <v>18</v>
      </c>
      <c r="I37" t="s">
        <v>930</v>
      </c>
      <c r="J37" t="s">
        <v>930</v>
      </c>
      <c r="K37" t="s">
        <v>756</v>
      </c>
      <c r="L37" t="s">
        <v>930</v>
      </c>
      <c r="M37" t="s">
        <v>757</v>
      </c>
      <c r="N37" t="s">
        <v>62</v>
      </c>
      <c r="O37" t="s">
        <v>117</v>
      </c>
      <c r="P37" t="s">
        <v>34</v>
      </c>
      <c r="Q37">
        <v>1</v>
      </c>
      <c r="R37">
        <v>0</v>
      </c>
      <c r="S37" s="2" t="str">
        <f>IFERROR(VLOOKUP(C37,Sheet2!B:E,4,0),C37)</f>
        <v>优惠产品</v>
      </c>
    </row>
    <row r="38" spans="1:19" x14ac:dyDescent="0.2">
      <c r="A38" t="s">
        <v>1590</v>
      </c>
      <c r="B38">
        <v>3000</v>
      </c>
      <c r="C38" t="s">
        <v>589</v>
      </c>
      <c r="D38" t="s">
        <v>970</v>
      </c>
      <c r="E38" t="s">
        <v>1591</v>
      </c>
      <c r="F38" t="s">
        <v>1592</v>
      </c>
      <c r="G38" s="2" t="s">
        <v>1593</v>
      </c>
      <c r="H38" t="s">
        <v>18</v>
      </c>
      <c r="I38" t="s">
        <v>143</v>
      </c>
      <c r="J38" t="s">
        <v>144</v>
      </c>
      <c r="K38" t="s">
        <v>930</v>
      </c>
      <c r="L38" t="s">
        <v>930</v>
      </c>
      <c r="M38" t="s">
        <v>145</v>
      </c>
      <c r="N38" t="s">
        <v>146</v>
      </c>
      <c r="O38" t="s">
        <v>33</v>
      </c>
      <c r="P38" t="s">
        <v>34</v>
      </c>
      <c r="Q38">
        <v>1</v>
      </c>
      <c r="R38">
        <v>0</v>
      </c>
      <c r="S38" s="2" t="str">
        <f>IFERROR(VLOOKUP(C38,Sheet2!B:E,4,0),C38)</f>
        <v>优惠产品</v>
      </c>
    </row>
    <row r="39" spans="1:19" x14ac:dyDescent="0.2">
      <c r="A39" t="s">
        <v>1594</v>
      </c>
      <c r="B39">
        <v>3002</v>
      </c>
      <c r="C39" t="s">
        <v>26</v>
      </c>
      <c r="D39" t="s">
        <v>970</v>
      </c>
      <c r="E39" t="s">
        <v>1345</v>
      </c>
      <c r="F39" t="s">
        <v>1346</v>
      </c>
      <c r="G39" s="2" t="s">
        <v>1347</v>
      </c>
      <c r="H39" t="s">
        <v>18</v>
      </c>
      <c r="I39" t="s">
        <v>164</v>
      </c>
      <c r="J39" t="s">
        <v>165</v>
      </c>
      <c r="K39" t="s">
        <v>930</v>
      </c>
      <c r="L39" t="s">
        <v>930</v>
      </c>
      <c r="M39" t="s">
        <v>166</v>
      </c>
      <c r="N39" t="s">
        <v>55</v>
      </c>
      <c r="O39" t="s">
        <v>33</v>
      </c>
      <c r="P39" t="s">
        <v>34</v>
      </c>
      <c r="Q39">
        <v>1</v>
      </c>
      <c r="R39">
        <v>0</v>
      </c>
      <c r="S39" s="2" t="str">
        <f>IFERROR(VLOOKUP(C39,Sheet2!B:E,4,0),C39)</f>
        <v>一般产品</v>
      </c>
    </row>
    <row r="40" spans="1:19" x14ac:dyDescent="0.2">
      <c r="A40" t="s">
        <v>1595</v>
      </c>
      <c r="B40">
        <v>6000</v>
      </c>
      <c r="C40" t="s">
        <v>575</v>
      </c>
      <c r="D40" t="s">
        <v>726</v>
      </c>
      <c r="E40" t="s">
        <v>534</v>
      </c>
      <c r="F40" t="s">
        <v>535</v>
      </c>
      <c r="G40" s="2" t="s">
        <v>536</v>
      </c>
      <c r="H40" t="s">
        <v>18</v>
      </c>
      <c r="I40" t="s">
        <v>930</v>
      </c>
      <c r="J40" t="s">
        <v>930</v>
      </c>
      <c r="K40" t="s">
        <v>115</v>
      </c>
      <c r="L40" t="s">
        <v>930</v>
      </c>
      <c r="M40" t="s">
        <v>116</v>
      </c>
      <c r="N40" t="s">
        <v>45</v>
      </c>
      <c r="O40" t="s">
        <v>117</v>
      </c>
      <c r="P40" t="s">
        <v>34</v>
      </c>
      <c r="Q40">
        <v>1</v>
      </c>
      <c r="R40">
        <v>0</v>
      </c>
      <c r="S40" s="2" t="str">
        <f>IFERROR(VLOOKUP(C40,Sheet2!B:E,4,0),C40)</f>
        <v>优惠产品</v>
      </c>
    </row>
    <row r="41" spans="1:19" x14ac:dyDescent="0.2">
      <c r="A41" t="s">
        <v>1596</v>
      </c>
      <c r="B41">
        <v>3500</v>
      </c>
      <c r="C41" t="s">
        <v>589</v>
      </c>
      <c r="D41" t="s">
        <v>50</v>
      </c>
      <c r="E41" t="s">
        <v>1597</v>
      </c>
      <c r="F41" t="s">
        <v>1384</v>
      </c>
      <c r="G41" s="2" t="s">
        <v>1385</v>
      </c>
      <c r="H41" t="s">
        <v>18</v>
      </c>
      <c r="I41" t="s">
        <v>198</v>
      </c>
      <c r="J41" t="s">
        <v>199</v>
      </c>
      <c r="K41" t="s">
        <v>930</v>
      </c>
      <c r="L41" t="s">
        <v>930</v>
      </c>
      <c r="M41" t="s">
        <v>1048</v>
      </c>
      <c r="N41" t="s">
        <v>108</v>
      </c>
      <c r="O41" t="s">
        <v>33</v>
      </c>
      <c r="P41" t="s">
        <v>34</v>
      </c>
      <c r="Q41">
        <v>1</v>
      </c>
      <c r="R41">
        <v>0</v>
      </c>
      <c r="S41" s="2" t="str">
        <f>IFERROR(VLOOKUP(C41,Sheet2!B:E,4,0),C41)</f>
        <v>优惠产品</v>
      </c>
    </row>
    <row r="42" spans="1:19" x14ac:dyDescent="0.2">
      <c r="A42" t="s">
        <v>1598</v>
      </c>
      <c r="B42">
        <v>3980</v>
      </c>
      <c r="C42" t="s">
        <v>575</v>
      </c>
      <c r="D42" t="s">
        <v>971</v>
      </c>
      <c r="E42" t="s">
        <v>150</v>
      </c>
      <c r="F42" t="s">
        <v>691</v>
      </c>
      <c r="G42" s="2" t="s">
        <v>692</v>
      </c>
      <c r="H42" t="s">
        <v>18</v>
      </c>
      <c r="I42" t="s">
        <v>151</v>
      </c>
      <c r="J42" t="s">
        <v>152</v>
      </c>
      <c r="K42" t="s">
        <v>930</v>
      </c>
      <c r="L42" t="s">
        <v>930</v>
      </c>
      <c r="M42" t="s">
        <v>153</v>
      </c>
      <c r="N42" t="s">
        <v>61</v>
      </c>
      <c r="O42" t="s">
        <v>129</v>
      </c>
      <c r="P42" t="s">
        <v>25</v>
      </c>
      <c r="Q42">
        <v>1</v>
      </c>
      <c r="R42">
        <v>0</v>
      </c>
      <c r="S42" s="2" t="str">
        <f>IFERROR(VLOOKUP(C42,Sheet2!B:E,4,0),C42)</f>
        <v>优惠产品</v>
      </c>
    </row>
    <row r="43" spans="1:19" x14ac:dyDescent="0.2">
      <c r="A43" t="s">
        <v>1599</v>
      </c>
      <c r="B43">
        <v>3988</v>
      </c>
      <c r="C43" t="s">
        <v>575</v>
      </c>
      <c r="D43" t="s">
        <v>970</v>
      </c>
      <c r="E43" t="s">
        <v>1446</v>
      </c>
      <c r="F43" t="s">
        <v>1447</v>
      </c>
      <c r="G43" s="2" t="s">
        <v>1448</v>
      </c>
      <c r="H43" t="s">
        <v>28</v>
      </c>
      <c r="I43" t="s">
        <v>91</v>
      </c>
      <c r="J43" t="s">
        <v>92</v>
      </c>
      <c r="K43" t="s">
        <v>930</v>
      </c>
      <c r="L43" t="s">
        <v>930</v>
      </c>
      <c r="M43" t="s">
        <v>93</v>
      </c>
      <c r="N43" t="s">
        <v>94</v>
      </c>
      <c r="O43" t="s">
        <v>95</v>
      </c>
      <c r="P43" t="s">
        <v>90</v>
      </c>
      <c r="Q43">
        <v>1</v>
      </c>
      <c r="R43">
        <v>0</v>
      </c>
      <c r="S43" s="2" t="str">
        <f>IFERROR(VLOOKUP(C43,Sheet2!B:E,4,0),C43)</f>
        <v>优惠产品</v>
      </c>
    </row>
    <row r="44" spans="1:19" x14ac:dyDescent="0.2">
      <c r="A44" t="s">
        <v>1600</v>
      </c>
      <c r="B44">
        <v>2299</v>
      </c>
      <c r="C44" t="s">
        <v>26</v>
      </c>
      <c r="D44" t="s">
        <v>972</v>
      </c>
      <c r="E44" t="s">
        <v>979</v>
      </c>
      <c r="F44" t="s">
        <v>980</v>
      </c>
      <c r="G44" s="2" t="s">
        <v>981</v>
      </c>
      <c r="H44" t="s">
        <v>18</v>
      </c>
      <c r="I44" t="s">
        <v>281</v>
      </c>
      <c r="J44" t="s">
        <v>282</v>
      </c>
      <c r="K44" t="s">
        <v>930</v>
      </c>
      <c r="L44" t="s">
        <v>930</v>
      </c>
      <c r="M44" t="s">
        <v>283</v>
      </c>
      <c r="N44" t="s">
        <v>68</v>
      </c>
      <c r="O44" t="s">
        <v>33</v>
      </c>
      <c r="P44" t="s">
        <v>34</v>
      </c>
      <c r="Q44">
        <v>1</v>
      </c>
      <c r="R44">
        <v>0</v>
      </c>
      <c r="S44" s="2" t="str">
        <f>IFERROR(VLOOKUP(C44,Sheet2!B:E,4,0),C44)</f>
        <v>一般产品</v>
      </c>
    </row>
    <row r="45" spans="1:19" x14ac:dyDescent="0.2">
      <c r="A45" t="s">
        <v>1601</v>
      </c>
      <c r="B45">
        <v>3999</v>
      </c>
      <c r="C45" t="s">
        <v>26</v>
      </c>
      <c r="D45" t="s">
        <v>50</v>
      </c>
      <c r="E45" t="s">
        <v>1602</v>
      </c>
      <c r="F45" t="s">
        <v>795</v>
      </c>
      <c r="G45" s="2" t="s">
        <v>796</v>
      </c>
      <c r="H45" t="s">
        <v>18</v>
      </c>
      <c r="I45" t="s">
        <v>930</v>
      </c>
      <c r="J45" t="s">
        <v>930</v>
      </c>
      <c r="K45" t="s">
        <v>693</v>
      </c>
      <c r="L45" t="s">
        <v>930</v>
      </c>
      <c r="M45" t="s">
        <v>1050</v>
      </c>
      <c r="N45" t="s">
        <v>68</v>
      </c>
      <c r="O45" t="s">
        <v>33</v>
      </c>
      <c r="P45" t="s">
        <v>34</v>
      </c>
      <c r="Q45">
        <v>1</v>
      </c>
      <c r="R45">
        <v>0</v>
      </c>
      <c r="S45" s="2" t="str">
        <f>IFERROR(VLOOKUP(C45,Sheet2!B:E,4,0),C45)</f>
        <v>一般产品</v>
      </c>
    </row>
    <row r="46" spans="1:19" x14ac:dyDescent="0.2">
      <c r="A46" t="s">
        <v>1603</v>
      </c>
      <c r="B46">
        <v>3500</v>
      </c>
      <c r="C46" t="s">
        <v>26</v>
      </c>
      <c r="D46" t="s">
        <v>970</v>
      </c>
      <c r="E46" t="s">
        <v>963</v>
      </c>
      <c r="F46" t="s">
        <v>1249</v>
      </c>
      <c r="G46" s="2" t="s">
        <v>1250</v>
      </c>
      <c r="H46" t="s">
        <v>28</v>
      </c>
      <c r="I46" t="s">
        <v>930</v>
      </c>
      <c r="J46" t="s">
        <v>930</v>
      </c>
      <c r="K46" t="s">
        <v>79</v>
      </c>
      <c r="L46" t="s">
        <v>930</v>
      </c>
      <c r="M46" t="s">
        <v>80</v>
      </c>
      <c r="N46" t="s">
        <v>51</v>
      </c>
      <c r="O46" t="s">
        <v>33</v>
      </c>
      <c r="P46" t="s">
        <v>34</v>
      </c>
      <c r="Q46">
        <v>1</v>
      </c>
      <c r="R46">
        <v>0</v>
      </c>
      <c r="S46" s="2" t="str">
        <f>IFERROR(VLOOKUP(C46,Sheet2!B:E,4,0),C46)</f>
        <v>一般产品</v>
      </c>
    </row>
    <row r="47" spans="1:19" x14ac:dyDescent="0.2">
      <c r="A47" t="s">
        <v>1604</v>
      </c>
      <c r="B47">
        <v>2999</v>
      </c>
      <c r="C47" t="s">
        <v>589</v>
      </c>
      <c r="D47" t="s">
        <v>972</v>
      </c>
      <c r="E47" t="s">
        <v>1335</v>
      </c>
      <c r="F47" t="s">
        <v>1419</v>
      </c>
      <c r="G47" s="2" t="s">
        <v>1420</v>
      </c>
      <c r="H47" t="s">
        <v>18</v>
      </c>
      <c r="I47" t="s">
        <v>76</v>
      </c>
      <c r="J47" t="s">
        <v>77</v>
      </c>
      <c r="K47" t="s">
        <v>930</v>
      </c>
      <c r="L47" t="s">
        <v>930</v>
      </c>
      <c r="M47" t="s">
        <v>78</v>
      </c>
      <c r="N47" t="s">
        <v>44</v>
      </c>
      <c r="O47" t="s">
        <v>24</v>
      </c>
      <c r="P47" t="s">
        <v>25</v>
      </c>
      <c r="Q47">
        <v>1</v>
      </c>
      <c r="R47">
        <v>0</v>
      </c>
      <c r="S47" s="2" t="str">
        <f>IFERROR(VLOOKUP(C47,Sheet2!B:E,4,0),C47)</f>
        <v>优惠产品</v>
      </c>
    </row>
    <row r="48" spans="1:19" x14ac:dyDescent="0.2">
      <c r="A48" t="s">
        <v>1605</v>
      </c>
      <c r="B48">
        <v>2600</v>
      </c>
      <c r="C48" t="s">
        <v>26</v>
      </c>
      <c r="D48" t="s">
        <v>50</v>
      </c>
      <c r="E48" t="s">
        <v>1044</v>
      </c>
      <c r="F48" t="s">
        <v>1606</v>
      </c>
      <c r="G48" s="2" t="s">
        <v>1607</v>
      </c>
      <c r="H48" t="s">
        <v>18</v>
      </c>
      <c r="I48" t="s">
        <v>404</v>
      </c>
      <c r="J48" t="s">
        <v>405</v>
      </c>
      <c r="K48" t="s">
        <v>930</v>
      </c>
      <c r="L48" t="s">
        <v>930</v>
      </c>
      <c r="M48" t="s">
        <v>406</v>
      </c>
      <c r="N48" t="s">
        <v>55</v>
      </c>
      <c r="O48" t="s">
        <v>33</v>
      </c>
      <c r="P48" t="s">
        <v>34</v>
      </c>
      <c r="Q48">
        <v>1</v>
      </c>
      <c r="R48">
        <v>0</v>
      </c>
      <c r="S48" s="2" t="str">
        <f>IFERROR(VLOOKUP(C48,Sheet2!B:E,4,0),C48)</f>
        <v>一般产品</v>
      </c>
    </row>
    <row r="49" spans="1:19" x14ac:dyDescent="0.2">
      <c r="A49" t="s">
        <v>1610</v>
      </c>
      <c r="B49">
        <v>2999</v>
      </c>
      <c r="C49" t="s">
        <v>589</v>
      </c>
      <c r="D49" t="s">
        <v>972</v>
      </c>
      <c r="E49" t="s">
        <v>276</v>
      </c>
      <c r="F49" t="s">
        <v>1360</v>
      </c>
      <c r="G49" s="2" t="s">
        <v>1361</v>
      </c>
      <c r="H49" t="s">
        <v>18</v>
      </c>
      <c r="I49" t="s">
        <v>277</v>
      </c>
      <c r="J49" t="s">
        <v>278</v>
      </c>
      <c r="K49" t="s">
        <v>930</v>
      </c>
      <c r="L49" t="s">
        <v>930</v>
      </c>
      <c r="M49" t="s">
        <v>279</v>
      </c>
      <c r="N49" t="s">
        <v>44</v>
      </c>
      <c r="O49" t="s">
        <v>24</v>
      </c>
      <c r="P49" t="s">
        <v>25</v>
      </c>
      <c r="Q49">
        <v>1</v>
      </c>
      <c r="R49">
        <v>0</v>
      </c>
      <c r="S49" s="2" t="str">
        <f>IFERROR(VLOOKUP(C49,Sheet2!B:E,4,0),C49)</f>
        <v>优惠产品</v>
      </c>
    </row>
    <row r="50" spans="1:19" x14ac:dyDescent="0.2">
      <c r="A50" t="s">
        <v>1611</v>
      </c>
      <c r="B50">
        <v>2000</v>
      </c>
      <c r="C50" t="s">
        <v>26</v>
      </c>
      <c r="D50" t="s">
        <v>50</v>
      </c>
      <c r="E50" t="s">
        <v>1287</v>
      </c>
      <c r="F50" t="s">
        <v>1028</v>
      </c>
      <c r="G50" s="2" t="s">
        <v>1029</v>
      </c>
      <c r="H50" t="s">
        <v>18</v>
      </c>
      <c r="I50" t="s">
        <v>221</v>
      </c>
      <c r="J50" t="s">
        <v>222</v>
      </c>
      <c r="K50" t="s">
        <v>930</v>
      </c>
      <c r="L50" t="s">
        <v>930</v>
      </c>
      <c r="M50" t="s">
        <v>223</v>
      </c>
      <c r="N50" t="s">
        <v>55</v>
      </c>
      <c r="O50" t="s">
        <v>33</v>
      </c>
      <c r="P50" t="s">
        <v>34</v>
      </c>
      <c r="Q50">
        <v>1</v>
      </c>
      <c r="R50">
        <v>0</v>
      </c>
      <c r="S50" s="2" t="str">
        <f>IFERROR(VLOOKUP(C50,Sheet2!B:E,4,0),C50)</f>
        <v>一般产品</v>
      </c>
    </row>
    <row r="51" spans="1:19" x14ac:dyDescent="0.2">
      <c r="A51" t="s">
        <v>1612</v>
      </c>
      <c r="B51">
        <v>2098</v>
      </c>
      <c r="C51" t="s">
        <v>575</v>
      </c>
      <c r="D51" t="s">
        <v>970</v>
      </c>
      <c r="E51" t="s">
        <v>675</v>
      </c>
      <c r="F51" t="s">
        <v>487</v>
      </c>
      <c r="G51" s="2" t="s">
        <v>488</v>
      </c>
      <c r="H51" t="s">
        <v>18</v>
      </c>
      <c r="I51" t="s">
        <v>224</v>
      </c>
      <c r="J51" t="s">
        <v>225</v>
      </c>
      <c r="K51" t="s">
        <v>930</v>
      </c>
      <c r="L51" t="s">
        <v>930</v>
      </c>
      <c r="M51" t="s">
        <v>226</v>
      </c>
      <c r="N51" t="s">
        <v>136</v>
      </c>
      <c r="O51" t="s">
        <v>95</v>
      </c>
      <c r="P51" t="s">
        <v>90</v>
      </c>
      <c r="Q51">
        <v>1</v>
      </c>
      <c r="R51">
        <v>0</v>
      </c>
      <c r="S51" s="2" t="str">
        <f>IFERROR(VLOOKUP(C51,Sheet2!B:E,4,0),C51)</f>
        <v>优惠产品</v>
      </c>
    </row>
    <row r="52" spans="1:19" x14ac:dyDescent="0.2">
      <c r="A52" t="s">
        <v>1613</v>
      </c>
      <c r="B52">
        <v>2800</v>
      </c>
      <c r="C52" t="s">
        <v>26</v>
      </c>
      <c r="D52" t="s">
        <v>50</v>
      </c>
      <c r="E52" t="s">
        <v>410</v>
      </c>
      <c r="F52" t="s">
        <v>1340</v>
      </c>
      <c r="G52" s="2" t="s">
        <v>515</v>
      </c>
      <c r="H52" t="s">
        <v>18</v>
      </c>
      <c r="I52" t="s">
        <v>164</v>
      </c>
      <c r="J52" t="s">
        <v>165</v>
      </c>
      <c r="K52" t="s">
        <v>930</v>
      </c>
      <c r="L52" t="s">
        <v>930</v>
      </c>
      <c r="M52" t="s">
        <v>166</v>
      </c>
      <c r="N52" t="s">
        <v>55</v>
      </c>
      <c r="O52" t="s">
        <v>33</v>
      </c>
      <c r="P52" t="s">
        <v>34</v>
      </c>
      <c r="Q52">
        <v>1</v>
      </c>
      <c r="R52">
        <v>0</v>
      </c>
      <c r="S52" s="2" t="str">
        <f>IFERROR(VLOOKUP(C52,Sheet2!B:E,4,0),C52)</f>
        <v>一般产品</v>
      </c>
    </row>
    <row r="53" spans="1:19" x14ac:dyDescent="0.2">
      <c r="A53" t="s">
        <v>1614</v>
      </c>
      <c r="B53">
        <v>4310</v>
      </c>
      <c r="C53" t="s">
        <v>26</v>
      </c>
      <c r="D53" t="s">
        <v>970</v>
      </c>
      <c r="E53" t="s">
        <v>843</v>
      </c>
      <c r="F53" t="s">
        <v>676</v>
      </c>
      <c r="G53" s="2" t="s">
        <v>677</v>
      </c>
      <c r="H53" t="s">
        <v>18</v>
      </c>
      <c r="I53" t="s">
        <v>121</v>
      </c>
      <c r="J53" t="s">
        <v>122</v>
      </c>
      <c r="K53" t="s">
        <v>930</v>
      </c>
      <c r="L53" t="s">
        <v>930</v>
      </c>
      <c r="M53" t="s">
        <v>123</v>
      </c>
      <c r="N53" t="s">
        <v>55</v>
      </c>
      <c r="O53" t="s">
        <v>33</v>
      </c>
      <c r="P53" t="s">
        <v>34</v>
      </c>
      <c r="Q53">
        <v>1</v>
      </c>
      <c r="R53">
        <v>0</v>
      </c>
      <c r="S53" s="2" t="str">
        <f>IFERROR(VLOOKUP(C53,Sheet2!B:E,4,0),C53)</f>
        <v>一般产品</v>
      </c>
    </row>
    <row r="54" spans="1:19" x14ac:dyDescent="0.2">
      <c r="A54" t="s">
        <v>1615</v>
      </c>
      <c r="B54">
        <v>1698</v>
      </c>
      <c r="C54" t="s">
        <v>575</v>
      </c>
      <c r="D54" t="s">
        <v>971</v>
      </c>
      <c r="E54" t="s">
        <v>781</v>
      </c>
      <c r="F54" t="s">
        <v>658</v>
      </c>
      <c r="G54" s="2" t="s">
        <v>659</v>
      </c>
      <c r="H54" t="s">
        <v>18</v>
      </c>
      <c r="I54" t="s">
        <v>304</v>
      </c>
      <c r="J54" t="s">
        <v>305</v>
      </c>
      <c r="K54" t="s">
        <v>930</v>
      </c>
      <c r="L54" t="s">
        <v>930</v>
      </c>
      <c r="M54" t="s">
        <v>306</v>
      </c>
      <c r="N54" t="s">
        <v>73</v>
      </c>
      <c r="O54" t="s">
        <v>24</v>
      </c>
      <c r="P54" t="s">
        <v>25</v>
      </c>
      <c r="Q54">
        <v>1</v>
      </c>
      <c r="R54">
        <v>0</v>
      </c>
      <c r="S54" s="2" t="str">
        <f>IFERROR(VLOOKUP(C54,Sheet2!B:E,4,0),C54)</f>
        <v>优惠产品</v>
      </c>
    </row>
    <row r="55" spans="1:19" x14ac:dyDescent="0.2">
      <c r="A55" t="s">
        <v>1616</v>
      </c>
      <c r="B55">
        <v>3399</v>
      </c>
      <c r="C55" t="s">
        <v>26</v>
      </c>
      <c r="D55" t="s">
        <v>970</v>
      </c>
      <c r="E55" t="s">
        <v>1617</v>
      </c>
      <c r="F55" t="s">
        <v>1618</v>
      </c>
      <c r="G55" s="2" t="s">
        <v>1619</v>
      </c>
      <c r="H55" t="s">
        <v>18</v>
      </c>
      <c r="I55" t="s">
        <v>130</v>
      </c>
      <c r="J55" t="s">
        <v>131</v>
      </c>
      <c r="K55" t="s">
        <v>930</v>
      </c>
      <c r="L55" t="s">
        <v>930</v>
      </c>
      <c r="M55" t="s">
        <v>132</v>
      </c>
      <c r="N55" t="s">
        <v>51</v>
      </c>
      <c r="O55" t="s">
        <v>33</v>
      </c>
      <c r="P55" t="s">
        <v>34</v>
      </c>
      <c r="Q55">
        <v>1</v>
      </c>
      <c r="R55">
        <v>0</v>
      </c>
      <c r="S55" s="2" t="str">
        <f>IFERROR(VLOOKUP(C55,Sheet2!B:E,4,0),C55)</f>
        <v>一般产品</v>
      </c>
    </row>
    <row r="56" spans="1:19" x14ac:dyDescent="0.2">
      <c r="A56" t="s">
        <v>1620</v>
      </c>
      <c r="B56">
        <v>2999</v>
      </c>
      <c r="C56" t="s">
        <v>580</v>
      </c>
      <c r="D56" t="s">
        <v>972</v>
      </c>
      <c r="E56" t="s">
        <v>1621</v>
      </c>
      <c r="F56" t="s">
        <v>1488</v>
      </c>
      <c r="G56" s="2" t="s">
        <v>1489</v>
      </c>
      <c r="H56" t="s">
        <v>18</v>
      </c>
      <c r="I56" t="s">
        <v>227</v>
      </c>
      <c r="J56" t="s">
        <v>228</v>
      </c>
      <c r="K56" t="s">
        <v>930</v>
      </c>
      <c r="L56" t="s">
        <v>930</v>
      </c>
      <c r="M56" t="s">
        <v>229</v>
      </c>
      <c r="N56" t="s">
        <v>194</v>
      </c>
      <c r="O56" t="s">
        <v>24</v>
      </c>
      <c r="P56" t="s">
        <v>25</v>
      </c>
      <c r="Q56">
        <v>1</v>
      </c>
      <c r="R56">
        <v>0</v>
      </c>
      <c r="S56" s="2" t="str">
        <f>IFERROR(VLOOKUP(C56,Sheet2!B:E,4,0),C56)</f>
        <v>10期贷</v>
      </c>
    </row>
    <row r="57" spans="1:19" x14ac:dyDescent="0.2">
      <c r="A57" t="s">
        <v>1622</v>
      </c>
      <c r="B57">
        <v>2800</v>
      </c>
      <c r="C57" t="s">
        <v>26</v>
      </c>
      <c r="D57" t="s">
        <v>50</v>
      </c>
      <c r="E57" t="s">
        <v>1030</v>
      </c>
      <c r="F57" t="s">
        <v>1623</v>
      </c>
      <c r="G57" s="2" t="s">
        <v>1133</v>
      </c>
      <c r="H57" t="s">
        <v>18</v>
      </c>
      <c r="I57" t="s">
        <v>198</v>
      </c>
      <c r="J57" t="s">
        <v>199</v>
      </c>
      <c r="K57" t="s">
        <v>930</v>
      </c>
      <c r="L57" t="s">
        <v>930</v>
      </c>
      <c r="M57" t="s">
        <v>1048</v>
      </c>
      <c r="N57" t="s">
        <v>108</v>
      </c>
      <c r="O57" t="s">
        <v>33</v>
      </c>
      <c r="P57" t="s">
        <v>34</v>
      </c>
      <c r="Q57">
        <v>1</v>
      </c>
      <c r="R57">
        <v>0</v>
      </c>
      <c r="S57" s="2" t="str">
        <f>IFERROR(VLOOKUP(C57,Sheet2!B:E,4,0),C57)</f>
        <v>一般产品</v>
      </c>
    </row>
    <row r="58" spans="1:19" x14ac:dyDescent="0.2">
      <c r="A58" t="s">
        <v>1624</v>
      </c>
      <c r="B58">
        <v>1800</v>
      </c>
      <c r="C58" t="s">
        <v>26</v>
      </c>
      <c r="D58" t="s">
        <v>971</v>
      </c>
      <c r="E58" t="s">
        <v>1625</v>
      </c>
      <c r="F58" t="s">
        <v>386</v>
      </c>
      <c r="G58" s="2" t="s">
        <v>387</v>
      </c>
      <c r="H58" t="s">
        <v>18</v>
      </c>
      <c r="I58" t="s">
        <v>133</v>
      </c>
      <c r="J58" t="s">
        <v>134</v>
      </c>
      <c r="K58" t="s">
        <v>930</v>
      </c>
      <c r="L58" t="s">
        <v>930</v>
      </c>
      <c r="M58" t="s">
        <v>135</v>
      </c>
      <c r="N58" t="s">
        <v>73</v>
      </c>
      <c r="O58" t="s">
        <v>24</v>
      </c>
      <c r="P58" t="s">
        <v>25</v>
      </c>
      <c r="Q58">
        <v>1</v>
      </c>
      <c r="R58">
        <v>0</v>
      </c>
      <c r="S58" s="2" t="str">
        <f>IFERROR(VLOOKUP(C58,Sheet2!B:E,4,0),C58)</f>
        <v>一般产品</v>
      </c>
    </row>
    <row r="59" spans="1:19" x14ac:dyDescent="0.2">
      <c r="A59" t="s">
        <v>1626</v>
      </c>
      <c r="B59">
        <v>2999</v>
      </c>
      <c r="C59" t="s">
        <v>589</v>
      </c>
      <c r="D59" t="s">
        <v>726</v>
      </c>
      <c r="E59" t="s">
        <v>839</v>
      </c>
      <c r="F59" t="s">
        <v>518</v>
      </c>
      <c r="G59" s="2" t="s">
        <v>519</v>
      </c>
      <c r="H59" t="s">
        <v>18</v>
      </c>
      <c r="I59" t="s">
        <v>379</v>
      </c>
      <c r="J59" t="s">
        <v>380</v>
      </c>
      <c r="K59" t="s">
        <v>930</v>
      </c>
      <c r="L59" t="s">
        <v>930</v>
      </c>
      <c r="M59" t="s">
        <v>381</v>
      </c>
      <c r="N59" t="s">
        <v>46</v>
      </c>
      <c r="O59" t="s">
        <v>63</v>
      </c>
      <c r="P59" t="s">
        <v>34</v>
      </c>
      <c r="Q59">
        <v>1</v>
      </c>
      <c r="R59">
        <v>0</v>
      </c>
      <c r="S59" s="2" t="str">
        <f>IFERROR(VLOOKUP(C59,Sheet2!B:E,4,0),C59)</f>
        <v>优惠产品</v>
      </c>
    </row>
    <row r="60" spans="1:19" x14ac:dyDescent="0.2">
      <c r="A60" t="s">
        <v>1627</v>
      </c>
      <c r="B60">
        <v>1798</v>
      </c>
      <c r="C60" t="s">
        <v>26</v>
      </c>
      <c r="D60" t="s">
        <v>50</v>
      </c>
      <c r="E60" t="s">
        <v>1628</v>
      </c>
      <c r="F60" t="s">
        <v>1253</v>
      </c>
      <c r="G60" s="2" t="s">
        <v>1254</v>
      </c>
      <c r="H60" t="s">
        <v>18</v>
      </c>
      <c r="I60" t="s">
        <v>164</v>
      </c>
      <c r="J60" t="s">
        <v>165</v>
      </c>
      <c r="K60" t="s">
        <v>930</v>
      </c>
      <c r="L60" t="s">
        <v>930</v>
      </c>
      <c r="M60" t="s">
        <v>166</v>
      </c>
      <c r="N60" t="s">
        <v>55</v>
      </c>
      <c r="O60" t="s">
        <v>33</v>
      </c>
      <c r="P60" t="s">
        <v>34</v>
      </c>
      <c r="Q60">
        <v>1</v>
      </c>
      <c r="R60">
        <v>0</v>
      </c>
      <c r="S60" s="2" t="str">
        <f>IFERROR(VLOOKUP(C60,Sheet2!B:E,4,0),C60)</f>
        <v>一般产品</v>
      </c>
    </row>
    <row r="61" spans="1:19" x14ac:dyDescent="0.2">
      <c r="A61" t="s">
        <v>1629</v>
      </c>
      <c r="B61">
        <v>3200</v>
      </c>
      <c r="C61" t="s">
        <v>26</v>
      </c>
      <c r="D61" t="s">
        <v>972</v>
      </c>
      <c r="E61" t="s">
        <v>1630</v>
      </c>
      <c r="F61" t="s">
        <v>819</v>
      </c>
      <c r="G61" s="2" t="s">
        <v>820</v>
      </c>
      <c r="H61" t="s">
        <v>18</v>
      </c>
      <c r="I61" t="s">
        <v>930</v>
      </c>
      <c r="J61" t="s">
        <v>930</v>
      </c>
      <c r="K61" t="s">
        <v>163</v>
      </c>
      <c r="L61" t="s">
        <v>930</v>
      </c>
      <c r="M61" t="s">
        <v>931</v>
      </c>
      <c r="N61" t="s">
        <v>68</v>
      </c>
      <c r="O61" t="s">
        <v>33</v>
      </c>
      <c r="P61" t="s">
        <v>34</v>
      </c>
      <c r="Q61">
        <v>1</v>
      </c>
      <c r="R61">
        <v>0</v>
      </c>
      <c r="S61" s="2" t="str">
        <f>IFERROR(VLOOKUP(C61,Sheet2!B:E,4,0),C61)</f>
        <v>一般产品</v>
      </c>
    </row>
    <row r="62" spans="1:19" x14ac:dyDescent="0.2">
      <c r="A62" t="s">
        <v>1631</v>
      </c>
      <c r="B62">
        <v>3798</v>
      </c>
      <c r="C62" t="s">
        <v>575</v>
      </c>
      <c r="D62" t="s">
        <v>971</v>
      </c>
      <c r="E62" t="s">
        <v>1632</v>
      </c>
      <c r="F62" t="s">
        <v>1633</v>
      </c>
      <c r="G62" s="2" t="s">
        <v>1634</v>
      </c>
      <c r="H62" t="s">
        <v>18</v>
      </c>
      <c r="I62" t="s">
        <v>211</v>
      </c>
      <c r="J62" t="s">
        <v>212</v>
      </c>
      <c r="K62" t="s">
        <v>930</v>
      </c>
      <c r="L62" t="s">
        <v>930</v>
      </c>
      <c r="M62" t="s">
        <v>213</v>
      </c>
      <c r="N62" t="s">
        <v>73</v>
      </c>
      <c r="O62" t="s">
        <v>24</v>
      </c>
      <c r="P62" t="s">
        <v>25</v>
      </c>
      <c r="Q62">
        <v>1</v>
      </c>
      <c r="R62">
        <v>0</v>
      </c>
      <c r="S62" s="2" t="str">
        <f>IFERROR(VLOOKUP(C62,Sheet2!B:E,4,0),C62)</f>
        <v>优惠产品</v>
      </c>
    </row>
    <row r="63" spans="1:19" x14ac:dyDescent="0.2">
      <c r="A63" t="s">
        <v>1635</v>
      </c>
      <c r="B63">
        <v>2499</v>
      </c>
      <c r="C63" t="s">
        <v>575</v>
      </c>
      <c r="D63" t="s">
        <v>971</v>
      </c>
      <c r="E63" t="s">
        <v>245</v>
      </c>
      <c r="F63" t="s">
        <v>1636</v>
      </c>
      <c r="G63" s="2" t="s">
        <v>1637</v>
      </c>
      <c r="H63" t="s">
        <v>18</v>
      </c>
      <c r="I63" t="s">
        <v>248</v>
      </c>
      <c r="J63" t="s">
        <v>249</v>
      </c>
      <c r="K63" t="s">
        <v>930</v>
      </c>
      <c r="L63" t="s">
        <v>930</v>
      </c>
      <c r="M63" t="s">
        <v>1049</v>
      </c>
      <c r="N63" t="s">
        <v>73</v>
      </c>
      <c r="O63" t="s">
        <v>24</v>
      </c>
      <c r="P63" t="s">
        <v>25</v>
      </c>
      <c r="Q63">
        <v>1</v>
      </c>
      <c r="R63">
        <v>0</v>
      </c>
      <c r="S63" s="2" t="str">
        <f>IFERROR(VLOOKUP(C63,Sheet2!B:E,4,0),C63)</f>
        <v>优惠产品</v>
      </c>
    </row>
    <row r="64" spans="1:19" x14ac:dyDescent="0.2">
      <c r="A64" t="s">
        <v>1638</v>
      </c>
      <c r="B64">
        <v>1399</v>
      </c>
      <c r="C64" t="s">
        <v>26</v>
      </c>
      <c r="D64" t="s">
        <v>970</v>
      </c>
      <c r="E64" t="s">
        <v>500</v>
      </c>
      <c r="F64" t="s">
        <v>482</v>
      </c>
      <c r="G64" s="2" t="s">
        <v>483</v>
      </c>
      <c r="H64" t="s">
        <v>18</v>
      </c>
      <c r="I64" t="s">
        <v>118</v>
      </c>
      <c r="J64" t="s">
        <v>119</v>
      </c>
      <c r="K64" t="s">
        <v>930</v>
      </c>
      <c r="L64" t="s">
        <v>930</v>
      </c>
      <c r="M64" t="s">
        <v>120</v>
      </c>
      <c r="N64" t="s">
        <v>85</v>
      </c>
      <c r="O64" t="s">
        <v>33</v>
      </c>
      <c r="P64" t="s">
        <v>34</v>
      </c>
      <c r="Q64">
        <v>1</v>
      </c>
      <c r="R64">
        <v>0</v>
      </c>
      <c r="S64" s="2" t="str">
        <f>IFERROR(VLOOKUP(C64,Sheet2!B:E,4,0),C64)</f>
        <v>一般产品</v>
      </c>
    </row>
    <row r="65" spans="1:19" x14ac:dyDescent="0.2">
      <c r="A65" t="s">
        <v>1639</v>
      </c>
      <c r="B65">
        <v>3499</v>
      </c>
      <c r="C65" t="s">
        <v>575</v>
      </c>
      <c r="D65" t="s">
        <v>50</v>
      </c>
      <c r="E65" t="s">
        <v>1483</v>
      </c>
      <c r="F65" t="s">
        <v>1012</v>
      </c>
      <c r="G65" s="2" t="s">
        <v>1013</v>
      </c>
      <c r="H65" t="s">
        <v>28</v>
      </c>
      <c r="I65" t="s">
        <v>450</v>
      </c>
      <c r="J65" t="s">
        <v>451</v>
      </c>
      <c r="K65" t="s">
        <v>930</v>
      </c>
      <c r="L65" t="s">
        <v>930</v>
      </c>
      <c r="M65" t="s">
        <v>939</v>
      </c>
      <c r="N65" t="s">
        <v>124</v>
      </c>
      <c r="O65" t="s">
        <v>117</v>
      </c>
      <c r="P65" t="s">
        <v>34</v>
      </c>
      <c r="Q65">
        <v>1</v>
      </c>
      <c r="R65">
        <v>0</v>
      </c>
      <c r="S65" s="2" t="str">
        <f>IFERROR(VLOOKUP(C65,Sheet2!B:E,4,0),C65)</f>
        <v>优惠产品</v>
      </c>
    </row>
    <row r="66" spans="1:19" x14ac:dyDescent="0.2">
      <c r="A66" t="s">
        <v>1640</v>
      </c>
      <c r="B66">
        <v>3000</v>
      </c>
      <c r="C66" t="s">
        <v>26</v>
      </c>
      <c r="D66" t="s">
        <v>970</v>
      </c>
      <c r="E66" t="s">
        <v>1248</v>
      </c>
      <c r="F66" t="s">
        <v>1249</v>
      </c>
      <c r="G66" s="2" t="s">
        <v>1250</v>
      </c>
      <c r="H66" t="s">
        <v>28</v>
      </c>
      <c r="I66" t="s">
        <v>930</v>
      </c>
      <c r="J66" t="s">
        <v>930</v>
      </c>
      <c r="K66" t="s">
        <v>79</v>
      </c>
      <c r="L66" t="s">
        <v>930</v>
      </c>
      <c r="M66" t="s">
        <v>80</v>
      </c>
      <c r="N66" t="s">
        <v>51</v>
      </c>
      <c r="O66" t="s">
        <v>33</v>
      </c>
      <c r="P66" t="s">
        <v>34</v>
      </c>
      <c r="Q66">
        <v>1</v>
      </c>
      <c r="R66">
        <v>0</v>
      </c>
      <c r="S66" s="2" t="str">
        <f>IFERROR(VLOOKUP(C66,Sheet2!B:E,4,0),C66)</f>
        <v>一般产品</v>
      </c>
    </row>
    <row r="67" spans="1:19" x14ac:dyDescent="0.2">
      <c r="A67" t="s">
        <v>1641</v>
      </c>
      <c r="B67">
        <v>2500</v>
      </c>
      <c r="C67" t="s">
        <v>26</v>
      </c>
      <c r="D67" t="s">
        <v>972</v>
      </c>
      <c r="E67" t="s">
        <v>1642</v>
      </c>
      <c r="F67" t="s">
        <v>1643</v>
      </c>
      <c r="G67" s="2" t="s">
        <v>1644</v>
      </c>
      <c r="H67" t="s">
        <v>18</v>
      </c>
      <c r="I67" t="s">
        <v>65</v>
      </c>
      <c r="J67" t="s">
        <v>66</v>
      </c>
      <c r="K67" t="s">
        <v>930</v>
      </c>
      <c r="L67" t="s">
        <v>930</v>
      </c>
      <c r="M67" t="s">
        <v>67</v>
      </c>
      <c r="N67" t="s">
        <v>68</v>
      </c>
      <c r="O67" t="s">
        <v>33</v>
      </c>
      <c r="P67" t="s">
        <v>34</v>
      </c>
      <c r="Q67">
        <v>1</v>
      </c>
      <c r="R67">
        <v>0</v>
      </c>
      <c r="S67" s="2" t="str">
        <f>IFERROR(VLOOKUP(C67,Sheet2!B:E,4,0),C67)</f>
        <v>一般产品</v>
      </c>
    </row>
    <row r="68" spans="1:19" x14ac:dyDescent="0.2">
      <c r="A68" t="s">
        <v>1645</v>
      </c>
      <c r="B68">
        <v>2998</v>
      </c>
      <c r="C68" t="s">
        <v>26</v>
      </c>
      <c r="D68" t="s">
        <v>50</v>
      </c>
      <c r="E68" t="s">
        <v>1378</v>
      </c>
      <c r="F68" t="s">
        <v>1379</v>
      </c>
      <c r="G68" s="2" t="s">
        <v>1380</v>
      </c>
      <c r="H68" t="s">
        <v>18</v>
      </c>
      <c r="I68" t="s">
        <v>82</v>
      </c>
      <c r="J68" t="s">
        <v>83</v>
      </c>
      <c r="K68" t="s">
        <v>930</v>
      </c>
      <c r="L68" t="s">
        <v>930</v>
      </c>
      <c r="M68" t="s">
        <v>84</v>
      </c>
      <c r="N68" t="s">
        <v>85</v>
      </c>
      <c r="O68" t="s">
        <v>33</v>
      </c>
      <c r="P68" t="s">
        <v>34</v>
      </c>
      <c r="Q68">
        <v>1</v>
      </c>
      <c r="R68">
        <v>0</v>
      </c>
      <c r="S68" s="2" t="str">
        <f>IFERROR(VLOOKUP(C68,Sheet2!B:E,4,0),C68)</f>
        <v>一般产品</v>
      </c>
    </row>
    <row r="69" spans="1:19" x14ac:dyDescent="0.2">
      <c r="A69" t="s">
        <v>1646</v>
      </c>
      <c r="B69">
        <v>2598</v>
      </c>
      <c r="C69" t="s">
        <v>589</v>
      </c>
      <c r="D69" t="s">
        <v>972</v>
      </c>
      <c r="E69" t="s">
        <v>1647</v>
      </c>
      <c r="F69" t="s">
        <v>662</v>
      </c>
      <c r="G69" s="2" t="s">
        <v>663</v>
      </c>
      <c r="H69" t="s">
        <v>18</v>
      </c>
      <c r="I69" t="s">
        <v>524</v>
      </c>
      <c r="J69" t="s">
        <v>525</v>
      </c>
      <c r="K69" t="s">
        <v>930</v>
      </c>
      <c r="L69" t="s">
        <v>930</v>
      </c>
      <c r="M69" t="s">
        <v>526</v>
      </c>
      <c r="N69" t="s">
        <v>194</v>
      </c>
      <c r="O69" t="s">
        <v>24</v>
      </c>
      <c r="P69" t="s">
        <v>25</v>
      </c>
      <c r="Q69">
        <v>1</v>
      </c>
      <c r="R69">
        <v>0</v>
      </c>
      <c r="S69" s="2" t="str">
        <f>IFERROR(VLOOKUP(C69,Sheet2!B:E,4,0),C69)</f>
        <v>优惠产品</v>
      </c>
    </row>
    <row r="70" spans="1:19" x14ac:dyDescent="0.2">
      <c r="A70" t="s">
        <v>1648</v>
      </c>
      <c r="B70">
        <v>1498</v>
      </c>
      <c r="C70" t="s">
        <v>575</v>
      </c>
      <c r="D70" t="s">
        <v>970</v>
      </c>
      <c r="E70" t="s">
        <v>558</v>
      </c>
      <c r="F70" t="s">
        <v>559</v>
      </c>
      <c r="G70" s="2" t="s">
        <v>560</v>
      </c>
      <c r="H70" t="s">
        <v>18</v>
      </c>
      <c r="I70" t="s">
        <v>35</v>
      </c>
      <c r="J70" t="s">
        <v>36</v>
      </c>
      <c r="K70" t="s">
        <v>930</v>
      </c>
      <c r="L70" t="s">
        <v>930</v>
      </c>
      <c r="M70" t="s">
        <v>37</v>
      </c>
      <c r="N70" t="s">
        <v>38</v>
      </c>
      <c r="O70" t="s">
        <v>39</v>
      </c>
      <c r="P70" t="s">
        <v>25</v>
      </c>
      <c r="Q70">
        <v>1</v>
      </c>
      <c r="R70">
        <v>0</v>
      </c>
      <c r="S70" s="2" t="str">
        <f>IFERROR(VLOOKUP(C70,Sheet2!B:E,4,0),C70)</f>
        <v>优惠产品</v>
      </c>
    </row>
    <row r="71" spans="1:19" x14ac:dyDescent="0.2">
      <c r="A71" t="s">
        <v>1651</v>
      </c>
      <c r="B71">
        <v>1999</v>
      </c>
      <c r="C71" t="s">
        <v>575</v>
      </c>
      <c r="D71" t="s">
        <v>971</v>
      </c>
      <c r="E71" t="s">
        <v>1120</v>
      </c>
      <c r="F71" t="s">
        <v>1121</v>
      </c>
      <c r="G71" s="2" t="s">
        <v>1122</v>
      </c>
      <c r="H71" t="s">
        <v>18</v>
      </c>
      <c r="I71" t="s">
        <v>133</v>
      </c>
      <c r="J71" t="s">
        <v>134</v>
      </c>
      <c r="K71" t="s">
        <v>930</v>
      </c>
      <c r="L71" t="s">
        <v>930</v>
      </c>
      <c r="M71" t="s">
        <v>135</v>
      </c>
      <c r="N71" t="s">
        <v>73</v>
      </c>
      <c r="O71" t="s">
        <v>24</v>
      </c>
      <c r="P71" t="s">
        <v>25</v>
      </c>
      <c r="Q71">
        <v>1</v>
      </c>
      <c r="R71">
        <v>0</v>
      </c>
      <c r="S71" s="2" t="str">
        <f>IFERROR(VLOOKUP(C71,Sheet2!B:E,4,0),C71)</f>
        <v>优惠产品</v>
      </c>
    </row>
    <row r="72" spans="1:19" x14ac:dyDescent="0.2">
      <c r="A72" t="s">
        <v>1652</v>
      </c>
      <c r="B72">
        <v>4500</v>
      </c>
      <c r="C72" t="s">
        <v>26</v>
      </c>
      <c r="D72" t="s">
        <v>970</v>
      </c>
      <c r="E72" t="s">
        <v>1072</v>
      </c>
      <c r="F72" t="s">
        <v>532</v>
      </c>
      <c r="G72" s="2" t="s">
        <v>533</v>
      </c>
      <c r="H72" t="s">
        <v>28</v>
      </c>
      <c r="I72" t="s">
        <v>255</v>
      </c>
      <c r="J72" t="s">
        <v>256</v>
      </c>
      <c r="K72" t="s">
        <v>930</v>
      </c>
      <c r="L72" t="s">
        <v>930</v>
      </c>
      <c r="M72" t="s">
        <v>257</v>
      </c>
      <c r="N72" t="s">
        <v>47</v>
      </c>
      <c r="O72" t="s">
        <v>33</v>
      </c>
      <c r="P72" t="s">
        <v>34</v>
      </c>
      <c r="Q72">
        <v>1</v>
      </c>
      <c r="R72">
        <v>0</v>
      </c>
      <c r="S72" s="2" t="str">
        <f>IFERROR(VLOOKUP(C72,Sheet2!B:E,4,0),C72)</f>
        <v>一般产品</v>
      </c>
    </row>
    <row r="73" spans="1:19" x14ac:dyDescent="0.2">
      <c r="A73" t="s">
        <v>1653</v>
      </c>
      <c r="B73">
        <v>1800</v>
      </c>
      <c r="C73" t="s">
        <v>26</v>
      </c>
      <c r="D73" t="s">
        <v>50</v>
      </c>
      <c r="E73" t="s">
        <v>413</v>
      </c>
      <c r="F73" t="s">
        <v>1470</v>
      </c>
      <c r="G73" s="2" t="s">
        <v>1471</v>
      </c>
      <c r="H73" t="s">
        <v>18</v>
      </c>
      <c r="I73" t="s">
        <v>121</v>
      </c>
      <c r="J73" t="s">
        <v>122</v>
      </c>
      <c r="K73" t="s">
        <v>930</v>
      </c>
      <c r="L73" t="s">
        <v>930</v>
      </c>
      <c r="M73" t="s">
        <v>123</v>
      </c>
      <c r="N73" t="s">
        <v>55</v>
      </c>
      <c r="O73" t="s">
        <v>33</v>
      </c>
      <c r="P73" t="s">
        <v>34</v>
      </c>
      <c r="Q73">
        <v>1</v>
      </c>
      <c r="R73">
        <v>0</v>
      </c>
      <c r="S73" s="2" t="str">
        <f>IFERROR(VLOOKUP(C73,Sheet2!B:E,4,0),C73)</f>
        <v>一般产品</v>
      </c>
    </row>
    <row r="74" spans="1:19" x14ac:dyDescent="0.2">
      <c r="A74" t="s">
        <v>1654</v>
      </c>
      <c r="B74">
        <v>1299</v>
      </c>
      <c r="C74" t="s">
        <v>575</v>
      </c>
      <c r="D74" t="s">
        <v>50</v>
      </c>
      <c r="E74" t="s">
        <v>1655</v>
      </c>
      <c r="F74" t="s">
        <v>1656</v>
      </c>
      <c r="G74" s="2" t="s">
        <v>1657</v>
      </c>
      <c r="H74" t="s">
        <v>18</v>
      </c>
      <c r="I74" t="s">
        <v>111</v>
      </c>
      <c r="J74" t="s">
        <v>112</v>
      </c>
      <c r="K74" t="s">
        <v>930</v>
      </c>
      <c r="L74" t="s">
        <v>930</v>
      </c>
      <c r="M74" t="s">
        <v>113</v>
      </c>
      <c r="N74" t="s">
        <v>114</v>
      </c>
      <c r="O74" t="s">
        <v>24</v>
      </c>
      <c r="P74" t="s">
        <v>25</v>
      </c>
      <c r="Q74">
        <v>1</v>
      </c>
      <c r="R74">
        <v>0</v>
      </c>
      <c r="S74" s="2" t="str">
        <f>IFERROR(VLOOKUP(C74,Sheet2!B:E,4,0),C74)</f>
        <v>优惠产品</v>
      </c>
    </row>
    <row r="75" spans="1:19" x14ac:dyDescent="0.2">
      <c r="A75" t="s">
        <v>1658</v>
      </c>
      <c r="B75">
        <v>4400</v>
      </c>
      <c r="C75" t="s">
        <v>575</v>
      </c>
      <c r="D75" t="s">
        <v>50</v>
      </c>
      <c r="E75" t="s">
        <v>1659</v>
      </c>
      <c r="F75" t="s">
        <v>718</v>
      </c>
      <c r="G75" s="2" t="s">
        <v>719</v>
      </c>
      <c r="H75" t="s">
        <v>18</v>
      </c>
      <c r="I75" t="s">
        <v>445</v>
      </c>
      <c r="J75" t="s">
        <v>446</v>
      </c>
      <c r="K75" t="s">
        <v>930</v>
      </c>
      <c r="L75" t="s">
        <v>930</v>
      </c>
      <c r="M75" t="s">
        <v>447</v>
      </c>
      <c r="N75" t="s">
        <v>44</v>
      </c>
      <c r="O75" t="s">
        <v>24</v>
      </c>
      <c r="P75" t="s">
        <v>25</v>
      </c>
      <c r="Q75">
        <v>1</v>
      </c>
      <c r="R75">
        <v>0</v>
      </c>
      <c r="S75" s="2" t="str">
        <f>IFERROR(VLOOKUP(C75,Sheet2!B:E,4,0),C75)</f>
        <v>优惠产品</v>
      </c>
    </row>
    <row r="76" spans="1:19" x14ac:dyDescent="0.2">
      <c r="A76" t="s">
        <v>1660</v>
      </c>
      <c r="B76">
        <v>3299</v>
      </c>
      <c r="C76" t="s">
        <v>575</v>
      </c>
      <c r="D76" t="s">
        <v>971</v>
      </c>
      <c r="E76" t="s">
        <v>1661</v>
      </c>
      <c r="F76" t="s">
        <v>1273</v>
      </c>
      <c r="G76" s="2" t="s">
        <v>1274</v>
      </c>
      <c r="H76" t="s">
        <v>18</v>
      </c>
      <c r="I76" t="s">
        <v>304</v>
      </c>
      <c r="J76" t="s">
        <v>305</v>
      </c>
      <c r="K76" t="s">
        <v>930</v>
      </c>
      <c r="L76" t="s">
        <v>930</v>
      </c>
      <c r="M76" t="s">
        <v>306</v>
      </c>
      <c r="N76" t="s">
        <v>73</v>
      </c>
      <c r="O76" t="s">
        <v>24</v>
      </c>
      <c r="P76" t="s">
        <v>25</v>
      </c>
      <c r="Q76">
        <v>1</v>
      </c>
      <c r="R76">
        <v>0</v>
      </c>
      <c r="S76" s="2" t="str">
        <f>IFERROR(VLOOKUP(C76,Sheet2!B:E,4,0),C76)</f>
        <v>优惠产品</v>
      </c>
    </row>
    <row r="77" spans="1:19" x14ac:dyDescent="0.2">
      <c r="A77" t="s">
        <v>1662</v>
      </c>
      <c r="B77">
        <v>2398</v>
      </c>
      <c r="C77" t="s">
        <v>589</v>
      </c>
      <c r="D77" t="s">
        <v>50</v>
      </c>
      <c r="E77" t="s">
        <v>1663</v>
      </c>
      <c r="F77" t="s">
        <v>1223</v>
      </c>
      <c r="G77" s="2" t="s">
        <v>1224</v>
      </c>
      <c r="H77" t="s">
        <v>28</v>
      </c>
      <c r="I77" t="s">
        <v>930</v>
      </c>
      <c r="J77" t="s">
        <v>930</v>
      </c>
      <c r="K77" t="s">
        <v>1225</v>
      </c>
      <c r="L77" t="s">
        <v>930</v>
      </c>
      <c r="M77" t="s">
        <v>1226</v>
      </c>
      <c r="N77" t="s">
        <v>44</v>
      </c>
      <c r="O77" t="s">
        <v>24</v>
      </c>
      <c r="P77" t="s">
        <v>25</v>
      </c>
      <c r="Q77">
        <v>1</v>
      </c>
      <c r="R77">
        <v>0</v>
      </c>
      <c r="S77" s="2" t="str">
        <f>IFERROR(VLOOKUP(C77,Sheet2!B:E,4,0),C77)</f>
        <v>优惠产品</v>
      </c>
    </row>
    <row r="78" spans="1:19" x14ac:dyDescent="0.2">
      <c r="A78" t="s">
        <v>1664</v>
      </c>
      <c r="B78">
        <v>8000</v>
      </c>
      <c r="C78" t="s">
        <v>575</v>
      </c>
      <c r="D78" t="s">
        <v>726</v>
      </c>
      <c r="E78" t="s">
        <v>1589</v>
      </c>
      <c r="F78" t="s">
        <v>1176</v>
      </c>
      <c r="G78" s="2" t="s">
        <v>1177</v>
      </c>
      <c r="H78" t="s">
        <v>18</v>
      </c>
      <c r="I78" t="s">
        <v>930</v>
      </c>
      <c r="J78" t="s">
        <v>930</v>
      </c>
      <c r="K78" t="s">
        <v>756</v>
      </c>
      <c r="L78" t="s">
        <v>930</v>
      </c>
      <c r="M78" t="s">
        <v>757</v>
      </c>
      <c r="N78" t="s">
        <v>62</v>
      </c>
      <c r="O78" t="s">
        <v>117</v>
      </c>
      <c r="P78" t="s">
        <v>34</v>
      </c>
      <c r="Q78">
        <v>1</v>
      </c>
      <c r="R78">
        <v>0</v>
      </c>
      <c r="S78" s="2" t="str">
        <f>IFERROR(VLOOKUP(C78,Sheet2!B:E,4,0),C78)</f>
        <v>优惠产品</v>
      </c>
    </row>
    <row r="79" spans="1:19" x14ac:dyDescent="0.2">
      <c r="A79" t="s">
        <v>1665</v>
      </c>
      <c r="B79">
        <v>3499</v>
      </c>
      <c r="C79" t="s">
        <v>575</v>
      </c>
      <c r="D79" t="s">
        <v>971</v>
      </c>
      <c r="E79" t="s">
        <v>1666</v>
      </c>
      <c r="F79" t="s">
        <v>1667</v>
      </c>
      <c r="G79" s="2" t="s">
        <v>1668</v>
      </c>
      <c r="H79" t="s">
        <v>18</v>
      </c>
      <c r="I79" t="s">
        <v>248</v>
      </c>
      <c r="J79" t="s">
        <v>249</v>
      </c>
      <c r="K79" t="s">
        <v>930</v>
      </c>
      <c r="L79" t="s">
        <v>930</v>
      </c>
      <c r="M79" t="s">
        <v>1049</v>
      </c>
      <c r="N79" t="s">
        <v>73</v>
      </c>
      <c r="O79" t="s">
        <v>24</v>
      </c>
      <c r="P79" t="s">
        <v>25</v>
      </c>
      <c r="Q79">
        <v>1</v>
      </c>
      <c r="R79">
        <v>0</v>
      </c>
      <c r="S79" s="2" t="str">
        <f>IFERROR(VLOOKUP(C79,Sheet2!B:E,4,0),C79)</f>
        <v>优惠产品</v>
      </c>
    </row>
    <row r="80" spans="1:19" x14ac:dyDescent="0.2">
      <c r="A80" t="s">
        <v>1669</v>
      </c>
      <c r="B80">
        <v>2800</v>
      </c>
      <c r="C80" t="s">
        <v>26</v>
      </c>
      <c r="D80" t="s">
        <v>50</v>
      </c>
      <c r="E80" t="s">
        <v>1277</v>
      </c>
      <c r="F80" t="s">
        <v>1278</v>
      </c>
      <c r="G80" s="2" t="s">
        <v>1279</v>
      </c>
      <c r="H80" t="s">
        <v>18</v>
      </c>
      <c r="I80" t="s">
        <v>366</v>
      </c>
      <c r="J80" t="s">
        <v>367</v>
      </c>
      <c r="K80" t="s">
        <v>930</v>
      </c>
      <c r="L80" t="s">
        <v>930</v>
      </c>
      <c r="M80" t="s">
        <v>368</v>
      </c>
      <c r="N80" t="s">
        <v>47</v>
      </c>
      <c r="O80" t="s">
        <v>33</v>
      </c>
      <c r="P80" t="s">
        <v>34</v>
      </c>
      <c r="Q80">
        <v>1</v>
      </c>
      <c r="R80">
        <v>0</v>
      </c>
      <c r="S80" s="2" t="str">
        <f>IFERROR(VLOOKUP(C80,Sheet2!B:E,4,0),C80)</f>
        <v>一般产品</v>
      </c>
    </row>
    <row r="81" spans="1:19" x14ac:dyDescent="0.2">
      <c r="A81" t="s">
        <v>1670</v>
      </c>
      <c r="B81">
        <v>3498</v>
      </c>
      <c r="C81" t="s">
        <v>26</v>
      </c>
      <c r="D81" t="s">
        <v>971</v>
      </c>
      <c r="E81" t="s">
        <v>1671</v>
      </c>
      <c r="F81" t="s">
        <v>1672</v>
      </c>
      <c r="G81" s="2" t="s">
        <v>1673</v>
      </c>
      <c r="H81" t="s">
        <v>18</v>
      </c>
      <c r="I81" t="s">
        <v>147</v>
      </c>
      <c r="J81" t="s">
        <v>148</v>
      </c>
      <c r="K81" t="s">
        <v>930</v>
      </c>
      <c r="L81" t="s">
        <v>930</v>
      </c>
      <c r="M81" t="s">
        <v>149</v>
      </c>
      <c r="N81" t="s">
        <v>73</v>
      </c>
      <c r="O81" t="s">
        <v>24</v>
      </c>
      <c r="P81" t="s">
        <v>25</v>
      </c>
      <c r="Q81">
        <v>1</v>
      </c>
      <c r="R81">
        <v>0</v>
      </c>
      <c r="S81" s="2" t="str">
        <f>IFERROR(VLOOKUP(C81,Sheet2!B:E,4,0),C81)</f>
        <v>一般产品</v>
      </c>
    </row>
    <row r="82" spans="1:19" x14ac:dyDescent="0.2">
      <c r="A82" t="s">
        <v>1674</v>
      </c>
      <c r="B82">
        <v>1699</v>
      </c>
      <c r="C82" t="s">
        <v>575</v>
      </c>
      <c r="D82" t="s">
        <v>971</v>
      </c>
      <c r="E82" t="s">
        <v>1675</v>
      </c>
      <c r="F82" t="s">
        <v>1411</v>
      </c>
      <c r="G82" s="2" t="s">
        <v>1412</v>
      </c>
      <c r="H82" t="s">
        <v>18</v>
      </c>
      <c r="I82" t="s">
        <v>211</v>
      </c>
      <c r="J82" t="s">
        <v>212</v>
      </c>
      <c r="K82" t="s">
        <v>930</v>
      </c>
      <c r="L82" t="s">
        <v>930</v>
      </c>
      <c r="M82" t="s">
        <v>213</v>
      </c>
      <c r="N82" t="s">
        <v>73</v>
      </c>
      <c r="O82" t="s">
        <v>24</v>
      </c>
      <c r="P82" t="s">
        <v>25</v>
      </c>
      <c r="Q82">
        <v>1</v>
      </c>
      <c r="R82">
        <v>0</v>
      </c>
      <c r="S82" s="2" t="str">
        <f>IFERROR(VLOOKUP(C82,Sheet2!B:E,4,0),C82)</f>
        <v>优惠产品</v>
      </c>
    </row>
    <row r="83" spans="1:19" x14ac:dyDescent="0.2">
      <c r="A83" t="s">
        <v>1676</v>
      </c>
      <c r="B83">
        <v>1998</v>
      </c>
      <c r="C83" t="s">
        <v>589</v>
      </c>
      <c r="D83" t="s">
        <v>50</v>
      </c>
      <c r="E83" t="s">
        <v>1663</v>
      </c>
      <c r="F83" t="s">
        <v>1223</v>
      </c>
      <c r="G83" s="2" t="s">
        <v>1224</v>
      </c>
      <c r="H83" t="s">
        <v>28</v>
      </c>
      <c r="I83" t="s">
        <v>930</v>
      </c>
      <c r="J83" t="s">
        <v>930</v>
      </c>
      <c r="K83" t="s">
        <v>1225</v>
      </c>
      <c r="L83" t="s">
        <v>930</v>
      </c>
      <c r="M83" t="s">
        <v>1226</v>
      </c>
      <c r="N83" t="s">
        <v>44</v>
      </c>
      <c r="O83" t="s">
        <v>24</v>
      </c>
      <c r="P83" t="s">
        <v>25</v>
      </c>
      <c r="Q83">
        <v>1</v>
      </c>
      <c r="R83">
        <v>0</v>
      </c>
      <c r="S83" s="2" t="str">
        <f>IFERROR(VLOOKUP(C83,Sheet2!B:E,4,0),C83)</f>
        <v>优惠产品</v>
      </c>
    </row>
    <row r="84" spans="1:19" x14ac:dyDescent="0.2">
      <c r="A84" t="s">
        <v>1677</v>
      </c>
      <c r="B84">
        <v>2400</v>
      </c>
      <c r="C84" t="s">
        <v>26</v>
      </c>
      <c r="D84" t="s">
        <v>972</v>
      </c>
      <c r="E84" t="s">
        <v>848</v>
      </c>
      <c r="F84" t="s">
        <v>819</v>
      </c>
      <c r="G84" s="2" t="s">
        <v>820</v>
      </c>
      <c r="H84" t="s">
        <v>18</v>
      </c>
      <c r="I84" t="s">
        <v>930</v>
      </c>
      <c r="J84" t="s">
        <v>930</v>
      </c>
      <c r="K84" t="s">
        <v>163</v>
      </c>
      <c r="L84" t="s">
        <v>930</v>
      </c>
      <c r="M84" t="s">
        <v>931</v>
      </c>
      <c r="N84" t="s">
        <v>68</v>
      </c>
      <c r="O84" t="s">
        <v>33</v>
      </c>
      <c r="P84" t="s">
        <v>34</v>
      </c>
      <c r="Q84">
        <v>1</v>
      </c>
      <c r="R84">
        <v>0</v>
      </c>
      <c r="S84" s="2" t="str">
        <f>IFERROR(VLOOKUP(C84,Sheet2!B:E,4,0),C84)</f>
        <v>一般产品</v>
      </c>
    </row>
    <row r="85" spans="1:19" x14ac:dyDescent="0.2">
      <c r="A85" t="s">
        <v>1678</v>
      </c>
      <c r="B85">
        <v>1798</v>
      </c>
      <c r="C85" t="s">
        <v>26</v>
      </c>
      <c r="D85" t="s">
        <v>970</v>
      </c>
      <c r="E85" t="s">
        <v>1679</v>
      </c>
      <c r="F85" t="s">
        <v>1680</v>
      </c>
      <c r="G85" s="2" t="s">
        <v>1681</v>
      </c>
      <c r="H85" t="s">
        <v>18</v>
      </c>
      <c r="I85" t="s">
        <v>269</v>
      </c>
      <c r="J85" t="s">
        <v>270</v>
      </c>
      <c r="K85" t="s">
        <v>930</v>
      </c>
      <c r="L85" t="s">
        <v>930</v>
      </c>
      <c r="M85" t="s">
        <v>271</v>
      </c>
      <c r="N85" t="s">
        <v>47</v>
      </c>
      <c r="O85" t="s">
        <v>33</v>
      </c>
      <c r="P85" t="s">
        <v>34</v>
      </c>
      <c r="Q85">
        <v>1</v>
      </c>
      <c r="R85">
        <v>0</v>
      </c>
      <c r="S85" s="2" t="str">
        <f>IFERROR(VLOOKUP(C85,Sheet2!B:E,4,0),C85)</f>
        <v>一般产品</v>
      </c>
    </row>
    <row r="86" spans="1:19" x14ac:dyDescent="0.2">
      <c r="A86" t="s">
        <v>1682</v>
      </c>
      <c r="B86">
        <v>2699</v>
      </c>
      <c r="C86" t="s">
        <v>589</v>
      </c>
      <c r="D86" t="s">
        <v>50</v>
      </c>
      <c r="E86" t="s">
        <v>1683</v>
      </c>
      <c r="F86" t="s">
        <v>1649</v>
      </c>
      <c r="G86" s="2" t="s">
        <v>1650</v>
      </c>
      <c r="H86" t="s">
        <v>28</v>
      </c>
      <c r="I86" t="s">
        <v>191</v>
      </c>
      <c r="J86" t="s">
        <v>192</v>
      </c>
      <c r="K86" t="s">
        <v>930</v>
      </c>
      <c r="L86" t="s">
        <v>930</v>
      </c>
      <c r="M86" t="s">
        <v>193</v>
      </c>
      <c r="N86" t="s">
        <v>194</v>
      </c>
      <c r="O86" t="s">
        <v>24</v>
      </c>
      <c r="P86" t="s">
        <v>25</v>
      </c>
      <c r="Q86">
        <v>1</v>
      </c>
      <c r="R86">
        <v>0</v>
      </c>
      <c r="S86" s="2" t="str">
        <f>IFERROR(VLOOKUP(C86,Sheet2!B:E,4,0),C86)</f>
        <v>优惠产品</v>
      </c>
    </row>
    <row r="87" spans="1:19" x14ac:dyDescent="0.2">
      <c r="A87" t="s">
        <v>1684</v>
      </c>
      <c r="B87">
        <v>2998</v>
      </c>
      <c r="C87" t="s">
        <v>26</v>
      </c>
      <c r="D87" t="s">
        <v>970</v>
      </c>
      <c r="E87" t="s">
        <v>432</v>
      </c>
      <c r="F87" t="s">
        <v>1319</v>
      </c>
      <c r="G87" s="2" t="s">
        <v>1320</v>
      </c>
      <c r="H87" t="s">
        <v>18</v>
      </c>
      <c r="I87" t="s">
        <v>930</v>
      </c>
      <c r="J87" t="s">
        <v>930</v>
      </c>
      <c r="K87" t="s">
        <v>930</v>
      </c>
      <c r="L87" t="s">
        <v>930</v>
      </c>
      <c r="M87" t="s">
        <v>60</v>
      </c>
      <c r="N87" t="s">
        <v>61</v>
      </c>
      <c r="O87" t="s">
        <v>39</v>
      </c>
      <c r="P87" t="s">
        <v>25</v>
      </c>
      <c r="Q87">
        <v>1</v>
      </c>
      <c r="R87">
        <v>0</v>
      </c>
      <c r="S87" s="2" t="str">
        <f>IFERROR(VLOOKUP(C87,Sheet2!B:E,4,0),C87)</f>
        <v>一般产品</v>
      </c>
    </row>
    <row r="88" spans="1:19" x14ac:dyDescent="0.2">
      <c r="A88" t="s">
        <v>1685</v>
      </c>
      <c r="B88">
        <v>3710</v>
      </c>
      <c r="C88" t="s">
        <v>26</v>
      </c>
      <c r="D88" t="s">
        <v>970</v>
      </c>
      <c r="E88" t="s">
        <v>843</v>
      </c>
      <c r="F88" t="s">
        <v>1026</v>
      </c>
      <c r="G88" s="2" t="s">
        <v>1027</v>
      </c>
      <c r="H88" t="s">
        <v>18</v>
      </c>
      <c r="I88" t="s">
        <v>121</v>
      </c>
      <c r="J88" t="s">
        <v>122</v>
      </c>
      <c r="K88" t="s">
        <v>930</v>
      </c>
      <c r="L88" t="s">
        <v>930</v>
      </c>
      <c r="M88" t="s">
        <v>123</v>
      </c>
      <c r="N88" t="s">
        <v>55</v>
      </c>
      <c r="O88" t="s">
        <v>33</v>
      </c>
      <c r="P88" t="s">
        <v>34</v>
      </c>
      <c r="Q88">
        <v>1</v>
      </c>
      <c r="R88">
        <v>0</v>
      </c>
      <c r="S88" s="2" t="str">
        <f>IFERROR(VLOOKUP(C88,Sheet2!B:E,4,0),C88)</f>
        <v>一般产品</v>
      </c>
    </row>
    <row r="89" spans="1:19" x14ac:dyDescent="0.2">
      <c r="A89" t="s">
        <v>1686</v>
      </c>
      <c r="B89">
        <v>3498</v>
      </c>
      <c r="C89" t="s">
        <v>575</v>
      </c>
      <c r="D89" t="s">
        <v>970</v>
      </c>
      <c r="E89" t="s">
        <v>1687</v>
      </c>
      <c r="F89" t="s">
        <v>433</v>
      </c>
      <c r="G89" s="2" t="s">
        <v>434</v>
      </c>
      <c r="H89" t="s">
        <v>18</v>
      </c>
      <c r="I89" t="s">
        <v>139</v>
      </c>
      <c r="J89" t="s">
        <v>140</v>
      </c>
      <c r="K89" t="s">
        <v>930</v>
      </c>
      <c r="L89" t="s">
        <v>930</v>
      </c>
      <c r="M89" t="s">
        <v>141</v>
      </c>
      <c r="N89" t="s">
        <v>136</v>
      </c>
      <c r="O89" t="s">
        <v>95</v>
      </c>
      <c r="P89" t="s">
        <v>90</v>
      </c>
      <c r="Q89">
        <v>1</v>
      </c>
      <c r="R89">
        <v>0</v>
      </c>
      <c r="S89" s="2" t="str">
        <f>IFERROR(VLOOKUP(C89,Sheet2!B:E,4,0),C89)</f>
        <v>优惠产品</v>
      </c>
    </row>
    <row r="90" spans="1:19" x14ac:dyDescent="0.2">
      <c r="A90" t="s">
        <v>1688</v>
      </c>
      <c r="B90">
        <v>3000</v>
      </c>
      <c r="C90" t="s">
        <v>642</v>
      </c>
      <c r="D90" t="s">
        <v>970</v>
      </c>
      <c r="E90" t="s">
        <v>1689</v>
      </c>
      <c r="F90" t="s">
        <v>1690</v>
      </c>
      <c r="G90" s="2" t="s">
        <v>1691</v>
      </c>
      <c r="H90" t="s">
        <v>18</v>
      </c>
      <c r="I90" t="s">
        <v>429</v>
      </c>
      <c r="J90" t="s">
        <v>430</v>
      </c>
      <c r="K90" t="s">
        <v>930</v>
      </c>
      <c r="L90" t="s">
        <v>930</v>
      </c>
      <c r="M90" t="s">
        <v>431</v>
      </c>
      <c r="N90" t="s">
        <v>94</v>
      </c>
      <c r="O90" t="s">
        <v>95</v>
      </c>
      <c r="P90" t="s">
        <v>90</v>
      </c>
      <c r="Q90">
        <v>1</v>
      </c>
      <c r="R90">
        <v>0</v>
      </c>
      <c r="S90" s="2" t="str">
        <f>IFERROR(VLOOKUP(C90,Sheet2!B:E,4,0),C90)</f>
        <v>优惠购</v>
      </c>
    </row>
    <row r="91" spans="1:19" x14ac:dyDescent="0.2">
      <c r="A91" t="s">
        <v>1692</v>
      </c>
      <c r="B91">
        <v>2599</v>
      </c>
      <c r="C91" t="s">
        <v>589</v>
      </c>
      <c r="D91" t="s">
        <v>971</v>
      </c>
      <c r="E91" t="s">
        <v>1693</v>
      </c>
      <c r="F91" t="s">
        <v>1694</v>
      </c>
      <c r="G91" s="2" t="s">
        <v>1695</v>
      </c>
      <c r="H91" t="s">
        <v>18</v>
      </c>
      <c r="I91" t="s">
        <v>191</v>
      </c>
      <c r="J91" t="s">
        <v>192</v>
      </c>
      <c r="K91" t="s">
        <v>930</v>
      </c>
      <c r="L91" t="s">
        <v>930</v>
      </c>
      <c r="M91" t="s">
        <v>193</v>
      </c>
      <c r="N91" t="s">
        <v>194</v>
      </c>
      <c r="O91" t="s">
        <v>24</v>
      </c>
      <c r="P91" t="s">
        <v>25</v>
      </c>
      <c r="Q91">
        <v>1</v>
      </c>
      <c r="R91">
        <v>0</v>
      </c>
      <c r="S91" s="2" t="str">
        <f>IFERROR(VLOOKUP(C91,Sheet2!B:E,4,0),C91)</f>
        <v>优惠产品</v>
      </c>
    </row>
    <row r="92" spans="1:19" x14ac:dyDescent="0.2">
      <c r="A92" t="s">
        <v>1696</v>
      </c>
      <c r="B92">
        <v>2398</v>
      </c>
      <c r="C92" t="s">
        <v>589</v>
      </c>
      <c r="D92" t="s">
        <v>50</v>
      </c>
      <c r="E92" t="s">
        <v>1149</v>
      </c>
      <c r="F92" t="s">
        <v>585</v>
      </c>
      <c r="G92" s="2" t="s">
        <v>586</v>
      </c>
      <c r="H92" t="s">
        <v>18</v>
      </c>
      <c r="I92" t="s">
        <v>191</v>
      </c>
      <c r="J92" t="s">
        <v>192</v>
      </c>
      <c r="K92" t="s">
        <v>930</v>
      </c>
      <c r="L92" t="s">
        <v>930</v>
      </c>
      <c r="M92" t="s">
        <v>193</v>
      </c>
      <c r="N92" t="s">
        <v>194</v>
      </c>
      <c r="O92" t="s">
        <v>24</v>
      </c>
      <c r="P92" t="s">
        <v>25</v>
      </c>
      <c r="Q92">
        <v>1</v>
      </c>
      <c r="R92">
        <v>0</v>
      </c>
      <c r="S92" s="2" t="str">
        <f>IFERROR(VLOOKUP(C92,Sheet2!B:E,4,0),C92)</f>
        <v>优惠产品</v>
      </c>
    </row>
    <row r="93" spans="1:19" x14ac:dyDescent="0.2">
      <c r="A93" t="s">
        <v>1697</v>
      </c>
      <c r="B93">
        <v>2299</v>
      </c>
      <c r="C93" t="s">
        <v>575</v>
      </c>
      <c r="D93" t="s">
        <v>971</v>
      </c>
      <c r="E93" t="s">
        <v>1698</v>
      </c>
      <c r="F93" t="s">
        <v>498</v>
      </c>
      <c r="G93" s="2" t="s">
        <v>499</v>
      </c>
      <c r="H93" t="s">
        <v>18</v>
      </c>
      <c r="I93" t="s">
        <v>151</v>
      </c>
      <c r="J93" t="s">
        <v>152</v>
      </c>
      <c r="K93" t="s">
        <v>930</v>
      </c>
      <c r="L93" t="s">
        <v>930</v>
      </c>
      <c r="M93" t="s">
        <v>153</v>
      </c>
      <c r="N93" t="s">
        <v>61</v>
      </c>
      <c r="O93" t="s">
        <v>129</v>
      </c>
      <c r="P93" t="s">
        <v>25</v>
      </c>
      <c r="Q93">
        <v>1</v>
      </c>
      <c r="R93">
        <v>0</v>
      </c>
      <c r="S93" s="2" t="str">
        <f>IFERROR(VLOOKUP(C93,Sheet2!B:E,4,0),C93)</f>
        <v>优惠产品</v>
      </c>
    </row>
    <row r="94" spans="1:19" x14ac:dyDescent="0.2">
      <c r="A94" t="s">
        <v>1699</v>
      </c>
      <c r="B94">
        <v>3400</v>
      </c>
      <c r="C94" t="s">
        <v>575</v>
      </c>
      <c r="D94" t="s">
        <v>971</v>
      </c>
      <c r="E94" t="s">
        <v>1700</v>
      </c>
      <c r="F94" t="s">
        <v>1411</v>
      </c>
      <c r="G94" s="2" t="s">
        <v>1412</v>
      </c>
      <c r="H94" t="s">
        <v>18</v>
      </c>
      <c r="I94" t="s">
        <v>211</v>
      </c>
      <c r="J94" t="s">
        <v>212</v>
      </c>
      <c r="K94" t="s">
        <v>930</v>
      </c>
      <c r="L94" t="s">
        <v>930</v>
      </c>
      <c r="M94" t="s">
        <v>213</v>
      </c>
      <c r="N94" t="s">
        <v>73</v>
      </c>
      <c r="O94" t="s">
        <v>24</v>
      </c>
      <c r="P94" t="s">
        <v>25</v>
      </c>
      <c r="Q94">
        <v>1</v>
      </c>
      <c r="R94">
        <v>0</v>
      </c>
      <c r="S94" s="2" t="str">
        <f>IFERROR(VLOOKUP(C94,Sheet2!B:E,4,0),C94)</f>
        <v>优惠产品</v>
      </c>
    </row>
    <row r="95" spans="1:19" x14ac:dyDescent="0.2">
      <c r="A95" t="s">
        <v>1701</v>
      </c>
      <c r="B95">
        <v>3200</v>
      </c>
      <c r="C95" t="s">
        <v>26</v>
      </c>
      <c r="D95" t="s">
        <v>970</v>
      </c>
      <c r="E95" t="s">
        <v>1702</v>
      </c>
      <c r="F95" t="s">
        <v>1256</v>
      </c>
      <c r="G95" s="2" t="s">
        <v>1257</v>
      </c>
      <c r="H95" t="s">
        <v>28</v>
      </c>
      <c r="I95" t="s">
        <v>182</v>
      </c>
      <c r="J95" t="s">
        <v>183</v>
      </c>
      <c r="K95" t="s">
        <v>930</v>
      </c>
      <c r="L95" t="s">
        <v>930</v>
      </c>
      <c r="M95" t="s">
        <v>184</v>
      </c>
      <c r="N95" t="s">
        <v>85</v>
      </c>
      <c r="O95" t="s">
        <v>33</v>
      </c>
      <c r="P95" t="s">
        <v>34</v>
      </c>
      <c r="Q95">
        <v>1</v>
      </c>
      <c r="R95">
        <v>0</v>
      </c>
      <c r="S95" s="2" t="str">
        <f>IFERROR(VLOOKUP(C95,Sheet2!B:E,4,0),C95)</f>
        <v>一般产品</v>
      </c>
    </row>
    <row r="96" spans="1:19" x14ac:dyDescent="0.2">
      <c r="A96" t="s">
        <v>1703</v>
      </c>
      <c r="B96">
        <v>2599</v>
      </c>
      <c r="C96" t="s">
        <v>589</v>
      </c>
      <c r="D96" t="s">
        <v>972</v>
      </c>
      <c r="E96" t="s">
        <v>1704</v>
      </c>
      <c r="F96" t="s">
        <v>1705</v>
      </c>
      <c r="G96" s="2" t="s">
        <v>1706</v>
      </c>
      <c r="H96" t="s">
        <v>18</v>
      </c>
      <c r="I96" t="s">
        <v>204</v>
      </c>
      <c r="J96" t="s">
        <v>205</v>
      </c>
      <c r="K96" t="s">
        <v>930</v>
      </c>
      <c r="L96" t="s">
        <v>930</v>
      </c>
      <c r="M96" t="s">
        <v>206</v>
      </c>
      <c r="N96" t="s">
        <v>44</v>
      </c>
      <c r="O96" t="s">
        <v>24</v>
      </c>
      <c r="P96" t="s">
        <v>25</v>
      </c>
      <c r="Q96">
        <v>1</v>
      </c>
      <c r="R96">
        <v>0</v>
      </c>
      <c r="S96" s="2" t="str">
        <f>IFERROR(VLOOKUP(C96,Sheet2!B:E,4,0),C96)</f>
        <v>优惠产品</v>
      </c>
    </row>
    <row r="97" spans="1:19" x14ac:dyDescent="0.2">
      <c r="A97" t="s">
        <v>1707</v>
      </c>
      <c r="B97">
        <v>2998</v>
      </c>
      <c r="C97" t="s">
        <v>26</v>
      </c>
      <c r="D97" t="s">
        <v>972</v>
      </c>
      <c r="E97" t="s">
        <v>1185</v>
      </c>
      <c r="F97" t="s">
        <v>1186</v>
      </c>
      <c r="G97" s="2" t="s">
        <v>1187</v>
      </c>
      <c r="H97" t="s">
        <v>28</v>
      </c>
      <c r="I97" t="s">
        <v>100</v>
      </c>
      <c r="J97" t="s">
        <v>101</v>
      </c>
      <c r="K97" t="s">
        <v>930</v>
      </c>
      <c r="L97" t="s">
        <v>930</v>
      </c>
      <c r="M97" t="s">
        <v>102</v>
      </c>
      <c r="N97" t="s">
        <v>59</v>
      </c>
      <c r="O97" t="s">
        <v>72</v>
      </c>
      <c r="P97" t="s">
        <v>34</v>
      </c>
      <c r="Q97">
        <v>1</v>
      </c>
      <c r="R97">
        <v>0</v>
      </c>
      <c r="S97" s="2" t="str">
        <f>IFERROR(VLOOKUP(C97,Sheet2!B:E,4,0),C97)</f>
        <v>一般产品</v>
      </c>
    </row>
    <row r="98" spans="1:19" x14ac:dyDescent="0.2">
      <c r="A98" t="s">
        <v>1708</v>
      </c>
      <c r="B98">
        <v>3498</v>
      </c>
      <c r="C98" t="s">
        <v>19</v>
      </c>
      <c r="D98" t="s">
        <v>972</v>
      </c>
      <c r="E98" t="s">
        <v>1709</v>
      </c>
      <c r="F98" t="s">
        <v>202</v>
      </c>
      <c r="G98" s="2" t="s">
        <v>203</v>
      </c>
      <c r="H98" t="s">
        <v>18</v>
      </c>
      <c r="I98" t="s">
        <v>204</v>
      </c>
      <c r="J98" t="s">
        <v>205</v>
      </c>
      <c r="K98" t="s">
        <v>930</v>
      </c>
      <c r="L98" t="s">
        <v>930</v>
      </c>
      <c r="M98" t="s">
        <v>206</v>
      </c>
      <c r="N98" t="s">
        <v>44</v>
      </c>
      <c r="O98" t="s">
        <v>24</v>
      </c>
      <c r="P98" t="s">
        <v>25</v>
      </c>
      <c r="Q98">
        <v>1</v>
      </c>
      <c r="R98">
        <v>0</v>
      </c>
      <c r="S98" s="2" t="str">
        <f>IFERROR(VLOOKUP(C98,Sheet2!B:E,4,0),C98)</f>
        <v>优惠产品</v>
      </c>
    </row>
    <row r="99" spans="1:19" x14ac:dyDescent="0.2">
      <c r="A99" t="s">
        <v>1710</v>
      </c>
      <c r="B99">
        <v>2080</v>
      </c>
      <c r="C99" t="s">
        <v>589</v>
      </c>
      <c r="D99" t="s">
        <v>972</v>
      </c>
      <c r="E99" t="s">
        <v>1711</v>
      </c>
      <c r="F99" t="s">
        <v>1381</v>
      </c>
      <c r="G99" s="2" t="s">
        <v>1382</v>
      </c>
      <c r="H99" t="s">
        <v>18</v>
      </c>
      <c r="I99" t="s">
        <v>930</v>
      </c>
      <c r="J99" t="s">
        <v>930</v>
      </c>
      <c r="K99" t="s">
        <v>448</v>
      </c>
      <c r="L99" t="s">
        <v>930</v>
      </c>
      <c r="M99" t="s">
        <v>449</v>
      </c>
      <c r="N99" t="s">
        <v>194</v>
      </c>
      <c r="O99" t="s">
        <v>24</v>
      </c>
      <c r="P99" t="s">
        <v>25</v>
      </c>
      <c r="Q99">
        <v>1</v>
      </c>
      <c r="R99">
        <v>0</v>
      </c>
      <c r="S99" s="2" t="str">
        <f>IFERROR(VLOOKUP(C99,Sheet2!B:E,4,0),C99)</f>
        <v>优惠产品</v>
      </c>
    </row>
    <row r="100" spans="1:19" x14ac:dyDescent="0.2">
      <c r="A100" t="s">
        <v>1712</v>
      </c>
      <c r="B100">
        <v>2999</v>
      </c>
      <c r="C100" t="s">
        <v>589</v>
      </c>
      <c r="D100" t="s">
        <v>970</v>
      </c>
      <c r="E100" t="s">
        <v>1713</v>
      </c>
      <c r="F100" t="s">
        <v>1714</v>
      </c>
      <c r="G100" s="2" t="s">
        <v>1715</v>
      </c>
      <c r="H100" t="s">
        <v>18</v>
      </c>
      <c r="I100" t="s">
        <v>369</v>
      </c>
      <c r="J100" t="s">
        <v>370</v>
      </c>
      <c r="K100" t="s">
        <v>930</v>
      </c>
      <c r="L100" t="s">
        <v>930</v>
      </c>
      <c r="M100" t="s">
        <v>371</v>
      </c>
      <c r="N100" t="s">
        <v>85</v>
      </c>
      <c r="O100" t="s">
        <v>33</v>
      </c>
      <c r="P100" t="s">
        <v>34</v>
      </c>
      <c r="Q100">
        <v>1</v>
      </c>
      <c r="R100">
        <v>0</v>
      </c>
      <c r="S100" s="2" t="str">
        <f>IFERROR(VLOOKUP(C100,Sheet2!B:E,4,0),C100)</f>
        <v>优惠产品</v>
      </c>
    </row>
    <row r="101" spans="1:19" x14ac:dyDescent="0.2">
      <c r="A101" t="s">
        <v>1716</v>
      </c>
      <c r="B101">
        <v>2200</v>
      </c>
      <c r="C101" t="s">
        <v>26</v>
      </c>
      <c r="D101" t="s">
        <v>972</v>
      </c>
      <c r="E101" t="s">
        <v>848</v>
      </c>
      <c r="F101" t="s">
        <v>819</v>
      </c>
      <c r="G101" s="2" t="s">
        <v>820</v>
      </c>
      <c r="H101" t="s">
        <v>18</v>
      </c>
      <c r="I101" t="s">
        <v>930</v>
      </c>
      <c r="J101" t="s">
        <v>930</v>
      </c>
      <c r="K101" t="s">
        <v>163</v>
      </c>
      <c r="L101" t="s">
        <v>930</v>
      </c>
      <c r="M101" t="s">
        <v>931</v>
      </c>
      <c r="N101" t="s">
        <v>68</v>
      </c>
      <c r="O101" t="s">
        <v>33</v>
      </c>
      <c r="P101" t="s">
        <v>34</v>
      </c>
      <c r="Q101">
        <v>1</v>
      </c>
      <c r="R101">
        <v>0</v>
      </c>
      <c r="S101" s="2" t="str">
        <f>IFERROR(VLOOKUP(C101,Sheet2!B:E,4,0),C101)</f>
        <v>一般产品</v>
      </c>
    </row>
    <row r="102" spans="1:19" x14ac:dyDescent="0.2">
      <c r="A102" t="s">
        <v>1717</v>
      </c>
      <c r="B102">
        <v>1500</v>
      </c>
      <c r="C102" t="s">
        <v>575</v>
      </c>
      <c r="D102" t="s">
        <v>971</v>
      </c>
      <c r="E102" t="s">
        <v>1718</v>
      </c>
      <c r="F102" t="s">
        <v>1719</v>
      </c>
      <c r="G102" s="2" t="s">
        <v>1720</v>
      </c>
      <c r="H102" t="s">
        <v>18</v>
      </c>
      <c r="I102" t="s">
        <v>133</v>
      </c>
      <c r="J102" t="s">
        <v>134</v>
      </c>
      <c r="K102" t="s">
        <v>930</v>
      </c>
      <c r="L102" t="s">
        <v>930</v>
      </c>
      <c r="M102" t="s">
        <v>135</v>
      </c>
      <c r="N102" t="s">
        <v>73</v>
      </c>
      <c r="O102" t="s">
        <v>24</v>
      </c>
      <c r="P102" t="s">
        <v>25</v>
      </c>
      <c r="Q102">
        <v>1</v>
      </c>
      <c r="R102">
        <v>0</v>
      </c>
      <c r="S102" s="2" t="str">
        <f>IFERROR(VLOOKUP(C102,Sheet2!B:E,4,0),C102)</f>
        <v>优惠产品</v>
      </c>
    </row>
    <row r="103" spans="1:19" x14ac:dyDescent="0.2">
      <c r="A103" t="s">
        <v>1721</v>
      </c>
      <c r="B103">
        <v>1000</v>
      </c>
      <c r="C103" t="s">
        <v>26</v>
      </c>
      <c r="D103" t="s">
        <v>972</v>
      </c>
      <c r="E103" t="s">
        <v>1722</v>
      </c>
      <c r="F103" t="s">
        <v>1554</v>
      </c>
      <c r="G103" s="2" t="s">
        <v>1555</v>
      </c>
      <c r="H103" t="s">
        <v>18</v>
      </c>
      <c r="I103" t="s">
        <v>65</v>
      </c>
      <c r="J103" t="s">
        <v>66</v>
      </c>
      <c r="K103" t="s">
        <v>930</v>
      </c>
      <c r="L103" t="s">
        <v>930</v>
      </c>
      <c r="M103" t="s">
        <v>67</v>
      </c>
      <c r="N103" t="s">
        <v>68</v>
      </c>
      <c r="O103" t="s">
        <v>33</v>
      </c>
      <c r="P103" t="s">
        <v>34</v>
      </c>
      <c r="Q103">
        <v>1</v>
      </c>
      <c r="R103">
        <v>0</v>
      </c>
      <c r="S103" s="2" t="str">
        <f>IFERROR(VLOOKUP(C103,Sheet2!B:E,4,0),C103)</f>
        <v>一般产品</v>
      </c>
    </row>
    <row r="104" spans="1:19" x14ac:dyDescent="0.2">
      <c r="A104" t="s">
        <v>1723</v>
      </c>
      <c r="B104">
        <v>2898</v>
      </c>
      <c r="C104" t="s">
        <v>26</v>
      </c>
      <c r="D104" t="s">
        <v>970</v>
      </c>
      <c r="E104" t="s">
        <v>1724</v>
      </c>
      <c r="F104" t="s">
        <v>1725</v>
      </c>
      <c r="G104" s="2" t="s">
        <v>1726</v>
      </c>
      <c r="H104" t="s">
        <v>28</v>
      </c>
      <c r="I104" t="s">
        <v>930</v>
      </c>
      <c r="J104" t="s">
        <v>930</v>
      </c>
      <c r="K104" t="s">
        <v>930</v>
      </c>
      <c r="L104" t="s">
        <v>930</v>
      </c>
      <c r="M104" t="s">
        <v>45</v>
      </c>
      <c r="N104" t="s">
        <v>46</v>
      </c>
      <c r="O104" t="s">
        <v>39</v>
      </c>
      <c r="P104" t="s">
        <v>25</v>
      </c>
      <c r="Q104">
        <v>1</v>
      </c>
      <c r="R104">
        <v>0</v>
      </c>
      <c r="S104" s="2" t="str">
        <f>IFERROR(VLOOKUP(C104,Sheet2!B:E,4,0),C104)</f>
        <v>一般产品</v>
      </c>
    </row>
    <row r="105" spans="1:19" x14ac:dyDescent="0.2">
      <c r="A105" t="s">
        <v>1727</v>
      </c>
      <c r="B105">
        <v>4000</v>
      </c>
      <c r="C105" t="s">
        <v>26</v>
      </c>
      <c r="D105" t="s">
        <v>50</v>
      </c>
      <c r="E105" t="s">
        <v>1597</v>
      </c>
      <c r="F105" t="s">
        <v>1728</v>
      </c>
      <c r="G105" s="2" t="s">
        <v>1729</v>
      </c>
      <c r="H105" t="s">
        <v>28</v>
      </c>
      <c r="I105" t="s">
        <v>198</v>
      </c>
      <c r="J105" t="s">
        <v>199</v>
      </c>
      <c r="K105" t="s">
        <v>930</v>
      </c>
      <c r="L105" t="s">
        <v>930</v>
      </c>
      <c r="M105" t="s">
        <v>1048</v>
      </c>
      <c r="N105" t="s">
        <v>108</v>
      </c>
      <c r="O105" t="s">
        <v>33</v>
      </c>
      <c r="P105" t="s">
        <v>34</v>
      </c>
      <c r="Q105">
        <v>1</v>
      </c>
      <c r="R105">
        <v>0</v>
      </c>
      <c r="S105" s="2" t="str">
        <f>IFERROR(VLOOKUP(C105,Sheet2!B:E,4,0),C105)</f>
        <v>一般产品</v>
      </c>
    </row>
    <row r="106" spans="1:19" x14ac:dyDescent="0.2">
      <c r="A106" t="s">
        <v>1730</v>
      </c>
      <c r="B106">
        <v>1000</v>
      </c>
      <c r="C106" t="s">
        <v>589</v>
      </c>
      <c r="D106" t="s">
        <v>972</v>
      </c>
      <c r="E106" t="s">
        <v>1731</v>
      </c>
      <c r="F106" t="s">
        <v>587</v>
      </c>
      <c r="G106" s="2" t="s">
        <v>588</v>
      </c>
      <c r="H106" t="s">
        <v>18</v>
      </c>
      <c r="I106" t="s">
        <v>227</v>
      </c>
      <c r="J106" t="s">
        <v>228</v>
      </c>
      <c r="K106" t="s">
        <v>930</v>
      </c>
      <c r="L106" t="s">
        <v>930</v>
      </c>
      <c r="M106" t="s">
        <v>229</v>
      </c>
      <c r="N106" t="s">
        <v>194</v>
      </c>
      <c r="O106" t="s">
        <v>24</v>
      </c>
      <c r="P106" t="s">
        <v>25</v>
      </c>
      <c r="Q106">
        <v>1</v>
      </c>
      <c r="R106">
        <v>0</v>
      </c>
      <c r="S106" s="2" t="str">
        <f>IFERROR(VLOOKUP(C106,Sheet2!B:E,4,0),C106)</f>
        <v>优惠产品</v>
      </c>
    </row>
    <row r="107" spans="1:19" x14ac:dyDescent="0.2">
      <c r="A107" t="s">
        <v>1732</v>
      </c>
      <c r="B107">
        <v>2998</v>
      </c>
      <c r="C107" t="s">
        <v>575</v>
      </c>
      <c r="D107" t="s">
        <v>970</v>
      </c>
      <c r="E107" t="s">
        <v>1733</v>
      </c>
      <c r="F107" t="s">
        <v>1056</v>
      </c>
      <c r="G107" s="2" t="s">
        <v>1057</v>
      </c>
      <c r="H107" t="s">
        <v>18</v>
      </c>
      <c r="I107" t="s">
        <v>266</v>
      </c>
      <c r="J107" t="s">
        <v>267</v>
      </c>
      <c r="K107" t="s">
        <v>930</v>
      </c>
      <c r="L107" t="s">
        <v>930</v>
      </c>
      <c r="M107" t="s">
        <v>268</v>
      </c>
      <c r="N107" t="s">
        <v>185</v>
      </c>
      <c r="O107" t="s">
        <v>39</v>
      </c>
      <c r="P107" t="s">
        <v>25</v>
      </c>
      <c r="Q107">
        <v>1</v>
      </c>
      <c r="R107">
        <v>0</v>
      </c>
      <c r="S107" s="2" t="str">
        <f>IFERROR(VLOOKUP(C107,Sheet2!B:E,4,0),C107)</f>
        <v>优惠产品</v>
      </c>
    </row>
    <row r="108" spans="1:19" x14ac:dyDescent="0.2">
      <c r="A108" t="s">
        <v>1734</v>
      </c>
      <c r="B108">
        <v>2700</v>
      </c>
      <c r="C108" t="s">
        <v>26</v>
      </c>
      <c r="D108" t="s">
        <v>972</v>
      </c>
      <c r="E108" t="s">
        <v>848</v>
      </c>
      <c r="F108" t="s">
        <v>819</v>
      </c>
      <c r="G108" s="2" t="s">
        <v>820</v>
      </c>
      <c r="H108" t="s">
        <v>18</v>
      </c>
      <c r="I108" t="s">
        <v>930</v>
      </c>
      <c r="J108" t="s">
        <v>930</v>
      </c>
      <c r="K108" t="s">
        <v>163</v>
      </c>
      <c r="L108" t="s">
        <v>930</v>
      </c>
      <c r="M108" t="s">
        <v>931</v>
      </c>
      <c r="N108" t="s">
        <v>68</v>
      </c>
      <c r="O108" t="s">
        <v>33</v>
      </c>
      <c r="P108" t="s">
        <v>34</v>
      </c>
      <c r="Q108">
        <v>1</v>
      </c>
      <c r="R108">
        <v>0</v>
      </c>
      <c r="S108" s="2" t="str">
        <f>IFERROR(VLOOKUP(C108,Sheet2!B:E,4,0),C108)</f>
        <v>一般产品</v>
      </c>
    </row>
    <row r="109" spans="1:19" x14ac:dyDescent="0.2">
      <c r="A109" t="s">
        <v>1735</v>
      </c>
      <c r="B109">
        <v>2800</v>
      </c>
      <c r="C109" t="s">
        <v>589</v>
      </c>
      <c r="D109" t="s">
        <v>971</v>
      </c>
      <c r="E109" t="s">
        <v>1736</v>
      </c>
      <c r="F109" t="s">
        <v>1737</v>
      </c>
      <c r="G109" s="2" t="s">
        <v>1738</v>
      </c>
      <c r="H109" t="s">
        <v>18</v>
      </c>
      <c r="I109" t="s">
        <v>20</v>
      </c>
      <c r="J109" t="s">
        <v>21</v>
      </c>
      <c r="K109" t="s">
        <v>930</v>
      </c>
      <c r="L109" t="s">
        <v>930</v>
      </c>
      <c r="M109" t="s">
        <v>22</v>
      </c>
      <c r="N109" t="s">
        <v>23</v>
      </c>
      <c r="O109" t="s">
        <v>24</v>
      </c>
      <c r="P109" t="s">
        <v>25</v>
      </c>
      <c r="Q109">
        <v>1</v>
      </c>
      <c r="R109">
        <v>0</v>
      </c>
      <c r="S109" s="2" t="str">
        <f>IFERROR(VLOOKUP(C109,Sheet2!B:E,4,0),C109)</f>
        <v>优惠产品</v>
      </c>
    </row>
    <row r="110" spans="1:19" x14ac:dyDescent="0.2">
      <c r="A110" t="s">
        <v>1739</v>
      </c>
      <c r="B110">
        <v>2599</v>
      </c>
      <c r="C110" t="s">
        <v>575</v>
      </c>
      <c r="D110" t="s">
        <v>50</v>
      </c>
      <c r="E110" t="s">
        <v>1740</v>
      </c>
      <c r="F110" t="s">
        <v>1421</v>
      </c>
      <c r="G110" s="2" t="s">
        <v>1422</v>
      </c>
      <c r="H110" t="s">
        <v>18</v>
      </c>
      <c r="I110" t="s">
        <v>20</v>
      </c>
      <c r="J110" t="s">
        <v>21</v>
      </c>
      <c r="K110" t="s">
        <v>930</v>
      </c>
      <c r="L110" t="s">
        <v>930</v>
      </c>
      <c r="M110" t="s">
        <v>22</v>
      </c>
      <c r="N110" t="s">
        <v>23</v>
      </c>
      <c r="O110" t="s">
        <v>24</v>
      </c>
      <c r="P110" t="s">
        <v>25</v>
      </c>
      <c r="Q110">
        <v>1</v>
      </c>
      <c r="R110">
        <v>0</v>
      </c>
      <c r="S110" s="2" t="str">
        <f>IFERROR(VLOOKUP(C110,Sheet2!B:E,4,0),C110)</f>
        <v>优惠产品</v>
      </c>
    </row>
    <row r="111" spans="1:19" x14ac:dyDescent="0.2">
      <c r="A111" t="s">
        <v>1741</v>
      </c>
      <c r="B111">
        <v>2700</v>
      </c>
      <c r="C111" t="s">
        <v>26</v>
      </c>
      <c r="D111" t="s">
        <v>50</v>
      </c>
      <c r="E111" t="s">
        <v>1742</v>
      </c>
      <c r="F111" t="s">
        <v>530</v>
      </c>
      <c r="G111" s="2" t="s">
        <v>531</v>
      </c>
      <c r="H111" t="s">
        <v>28</v>
      </c>
      <c r="I111" t="s">
        <v>164</v>
      </c>
      <c r="J111" t="s">
        <v>165</v>
      </c>
      <c r="K111" t="s">
        <v>930</v>
      </c>
      <c r="L111" t="s">
        <v>930</v>
      </c>
      <c r="M111" t="s">
        <v>166</v>
      </c>
      <c r="N111" t="s">
        <v>55</v>
      </c>
      <c r="O111" t="s">
        <v>33</v>
      </c>
      <c r="P111" t="s">
        <v>34</v>
      </c>
      <c r="Q111">
        <v>1</v>
      </c>
      <c r="R111">
        <v>0</v>
      </c>
      <c r="S111" s="2" t="str">
        <f>IFERROR(VLOOKUP(C111,Sheet2!B:E,4,0),C111)</f>
        <v>一般产品</v>
      </c>
    </row>
    <row r="112" spans="1:19" x14ac:dyDescent="0.2">
      <c r="A112" t="s">
        <v>1743</v>
      </c>
      <c r="B112">
        <v>3780</v>
      </c>
      <c r="C112" t="s">
        <v>589</v>
      </c>
      <c r="D112" t="s">
        <v>972</v>
      </c>
      <c r="E112" t="s">
        <v>1282</v>
      </c>
      <c r="F112" t="s">
        <v>797</v>
      </c>
      <c r="G112" s="2" t="s">
        <v>798</v>
      </c>
      <c r="H112" t="s">
        <v>18</v>
      </c>
      <c r="I112" t="s">
        <v>250</v>
      </c>
      <c r="J112" t="s">
        <v>251</v>
      </c>
      <c r="K112" t="s">
        <v>930</v>
      </c>
      <c r="L112" t="s">
        <v>930</v>
      </c>
      <c r="M112" t="s">
        <v>252</v>
      </c>
      <c r="N112" t="s">
        <v>44</v>
      </c>
      <c r="O112" t="s">
        <v>24</v>
      </c>
      <c r="P112" t="s">
        <v>25</v>
      </c>
      <c r="Q112">
        <v>1</v>
      </c>
      <c r="R112">
        <v>0</v>
      </c>
      <c r="S112" s="2" t="str">
        <f>IFERROR(VLOOKUP(C112,Sheet2!B:E,4,0),C112)</f>
        <v>优惠产品</v>
      </c>
    </row>
    <row r="113" spans="1:19" x14ac:dyDescent="0.2">
      <c r="A113" t="s">
        <v>1744</v>
      </c>
      <c r="B113">
        <v>2900</v>
      </c>
      <c r="C113" t="s">
        <v>575</v>
      </c>
      <c r="D113" t="s">
        <v>971</v>
      </c>
      <c r="E113" t="s">
        <v>1479</v>
      </c>
      <c r="F113" t="s">
        <v>1104</v>
      </c>
      <c r="G113" s="2" t="s">
        <v>1105</v>
      </c>
      <c r="H113" t="s">
        <v>18</v>
      </c>
      <c r="I113" t="s">
        <v>174</v>
      </c>
      <c r="J113" t="s">
        <v>175</v>
      </c>
      <c r="K113" t="s">
        <v>930</v>
      </c>
      <c r="L113" t="s">
        <v>930</v>
      </c>
      <c r="M113" t="s">
        <v>176</v>
      </c>
      <c r="N113" t="s">
        <v>43</v>
      </c>
      <c r="O113" t="s">
        <v>24</v>
      </c>
      <c r="P113" t="s">
        <v>25</v>
      </c>
      <c r="Q113">
        <v>1</v>
      </c>
      <c r="R113">
        <v>0</v>
      </c>
      <c r="S113" s="2" t="str">
        <f>IFERROR(VLOOKUP(C113,Sheet2!B:E,4,0),C113)</f>
        <v>优惠产品</v>
      </c>
    </row>
    <row r="114" spans="1:19" x14ac:dyDescent="0.2">
      <c r="A114" t="s">
        <v>1745</v>
      </c>
      <c r="B114">
        <v>4400</v>
      </c>
      <c r="C114" t="s">
        <v>26</v>
      </c>
      <c r="D114" t="s">
        <v>50</v>
      </c>
      <c r="E114" t="s">
        <v>1746</v>
      </c>
      <c r="F114" t="s">
        <v>417</v>
      </c>
      <c r="G114" s="2" t="s">
        <v>418</v>
      </c>
      <c r="H114" t="s">
        <v>28</v>
      </c>
      <c r="I114" t="s">
        <v>147</v>
      </c>
      <c r="J114" t="s">
        <v>148</v>
      </c>
      <c r="K114" t="s">
        <v>930</v>
      </c>
      <c r="L114" t="s">
        <v>930</v>
      </c>
      <c r="M114" t="s">
        <v>149</v>
      </c>
      <c r="N114" t="s">
        <v>73</v>
      </c>
      <c r="O114" t="s">
        <v>24</v>
      </c>
      <c r="P114" t="s">
        <v>25</v>
      </c>
      <c r="Q114">
        <v>1</v>
      </c>
      <c r="R114">
        <v>0</v>
      </c>
      <c r="S114" s="2" t="str">
        <f>IFERROR(VLOOKUP(C114,Sheet2!B:E,4,0),C114)</f>
        <v>一般产品</v>
      </c>
    </row>
    <row r="115" spans="1:19" x14ac:dyDescent="0.2">
      <c r="A115" t="s">
        <v>1747</v>
      </c>
      <c r="B115">
        <v>2000</v>
      </c>
      <c r="C115" t="s">
        <v>26</v>
      </c>
      <c r="D115" t="s">
        <v>972</v>
      </c>
      <c r="E115" t="s">
        <v>973</v>
      </c>
      <c r="F115" t="s">
        <v>696</v>
      </c>
      <c r="G115" s="2" t="s">
        <v>697</v>
      </c>
      <c r="H115" t="s">
        <v>18</v>
      </c>
      <c r="I115" t="s">
        <v>221</v>
      </c>
      <c r="J115" t="s">
        <v>222</v>
      </c>
      <c r="K115" t="s">
        <v>930</v>
      </c>
      <c r="L115" t="s">
        <v>930</v>
      </c>
      <c r="M115" t="s">
        <v>223</v>
      </c>
      <c r="N115" t="s">
        <v>55</v>
      </c>
      <c r="O115" t="s">
        <v>33</v>
      </c>
      <c r="P115" t="s">
        <v>34</v>
      </c>
      <c r="Q115">
        <v>1</v>
      </c>
      <c r="R115">
        <v>0</v>
      </c>
      <c r="S115" s="2" t="str">
        <f>IFERROR(VLOOKUP(C115,Sheet2!B:E,4,0),C115)</f>
        <v>一般产品</v>
      </c>
    </row>
    <row r="116" spans="1:19" x14ac:dyDescent="0.2">
      <c r="A116" t="s">
        <v>1748</v>
      </c>
      <c r="B116">
        <v>5999</v>
      </c>
      <c r="C116" t="s">
        <v>26</v>
      </c>
      <c r="D116" t="s">
        <v>970</v>
      </c>
      <c r="E116" t="s">
        <v>455</v>
      </c>
      <c r="F116" t="s">
        <v>484</v>
      </c>
      <c r="G116" s="2" t="s">
        <v>485</v>
      </c>
      <c r="H116" t="s">
        <v>18</v>
      </c>
      <c r="I116" t="s">
        <v>103</v>
      </c>
      <c r="J116" t="s">
        <v>104</v>
      </c>
      <c r="K116" t="s">
        <v>930</v>
      </c>
      <c r="L116" t="s">
        <v>930</v>
      </c>
      <c r="M116" t="s">
        <v>105</v>
      </c>
      <c r="N116" t="s">
        <v>47</v>
      </c>
      <c r="O116" t="s">
        <v>33</v>
      </c>
      <c r="P116" t="s">
        <v>34</v>
      </c>
      <c r="Q116">
        <v>1</v>
      </c>
      <c r="R116">
        <v>0</v>
      </c>
      <c r="S116" s="2" t="str">
        <f>IFERROR(VLOOKUP(C116,Sheet2!B:E,4,0),C116)</f>
        <v>一般产品</v>
      </c>
    </row>
    <row r="117" spans="1:19" x14ac:dyDescent="0.2">
      <c r="A117" t="s">
        <v>1749</v>
      </c>
      <c r="B117">
        <v>1399</v>
      </c>
      <c r="C117" t="s">
        <v>575</v>
      </c>
      <c r="D117" t="s">
        <v>50</v>
      </c>
      <c r="E117" t="s">
        <v>1336</v>
      </c>
      <c r="F117" t="s">
        <v>335</v>
      </c>
      <c r="G117" s="2" t="s">
        <v>336</v>
      </c>
      <c r="H117" t="s">
        <v>18</v>
      </c>
      <c r="I117" t="s">
        <v>111</v>
      </c>
      <c r="J117" t="s">
        <v>112</v>
      </c>
      <c r="K117" t="s">
        <v>930</v>
      </c>
      <c r="L117" t="s">
        <v>930</v>
      </c>
      <c r="M117" t="s">
        <v>113</v>
      </c>
      <c r="N117" t="s">
        <v>114</v>
      </c>
      <c r="O117" t="s">
        <v>24</v>
      </c>
      <c r="P117" t="s">
        <v>25</v>
      </c>
      <c r="Q117">
        <v>1</v>
      </c>
      <c r="R117">
        <v>0</v>
      </c>
      <c r="S117" s="2" t="str">
        <f>IFERROR(VLOOKUP(C117,Sheet2!B:E,4,0),C117)</f>
        <v>优惠产品</v>
      </c>
    </row>
    <row r="118" spans="1:19" x14ac:dyDescent="0.2">
      <c r="A118" t="s">
        <v>1750</v>
      </c>
      <c r="B118">
        <v>3500</v>
      </c>
      <c r="C118" t="s">
        <v>26</v>
      </c>
      <c r="D118" t="s">
        <v>971</v>
      </c>
      <c r="E118" t="s">
        <v>393</v>
      </c>
      <c r="F118" t="s">
        <v>540</v>
      </c>
      <c r="G118" s="2" t="s">
        <v>541</v>
      </c>
      <c r="H118" t="s">
        <v>18</v>
      </c>
      <c r="I118" t="s">
        <v>260</v>
      </c>
      <c r="J118" t="s">
        <v>261</v>
      </c>
      <c r="K118" t="s">
        <v>930</v>
      </c>
      <c r="L118" t="s">
        <v>930</v>
      </c>
      <c r="M118" t="s">
        <v>262</v>
      </c>
      <c r="N118" t="s">
        <v>45</v>
      </c>
      <c r="O118" t="s">
        <v>48</v>
      </c>
      <c r="P118" t="s">
        <v>49</v>
      </c>
      <c r="Q118">
        <v>1</v>
      </c>
      <c r="R118">
        <v>0</v>
      </c>
      <c r="S118" s="2" t="str">
        <f>IFERROR(VLOOKUP(C118,Sheet2!B:E,4,0),C118)</f>
        <v>一般产品</v>
      </c>
    </row>
    <row r="119" spans="1:19" x14ac:dyDescent="0.2">
      <c r="A119" t="s">
        <v>1751</v>
      </c>
      <c r="B119">
        <v>2599</v>
      </c>
      <c r="C119" t="s">
        <v>589</v>
      </c>
      <c r="D119" t="s">
        <v>50</v>
      </c>
      <c r="E119" t="s">
        <v>969</v>
      </c>
      <c r="F119" t="s">
        <v>600</v>
      </c>
      <c r="G119" s="2" t="s">
        <v>601</v>
      </c>
      <c r="H119" t="s">
        <v>18</v>
      </c>
      <c r="I119" t="s">
        <v>250</v>
      </c>
      <c r="J119" t="s">
        <v>251</v>
      </c>
      <c r="K119" t="s">
        <v>930</v>
      </c>
      <c r="L119" t="s">
        <v>930</v>
      </c>
      <c r="M119" t="s">
        <v>252</v>
      </c>
      <c r="N119" t="s">
        <v>44</v>
      </c>
      <c r="O119" t="s">
        <v>24</v>
      </c>
      <c r="P119" t="s">
        <v>25</v>
      </c>
      <c r="Q119">
        <v>1</v>
      </c>
      <c r="R119">
        <v>0</v>
      </c>
      <c r="S119" s="2" t="str">
        <f>IFERROR(VLOOKUP(C119,Sheet2!B:E,4,0),C119)</f>
        <v>优惠产品</v>
      </c>
    </row>
    <row r="120" spans="1:19" x14ac:dyDescent="0.2">
      <c r="A120" t="s">
        <v>1752</v>
      </c>
      <c r="B120">
        <v>2700</v>
      </c>
      <c r="C120" t="s">
        <v>26</v>
      </c>
      <c r="D120" t="s">
        <v>972</v>
      </c>
      <c r="E120" t="s">
        <v>1753</v>
      </c>
      <c r="F120" t="s">
        <v>819</v>
      </c>
      <c r="G120" s="2" t="s">
        <v>820</v>
      </c>
      <c r="H120" t="s">
        <v>18</v>
      </c>
      <c r="I120" t="s">
        <v>930</v>
      </c>
      <c r="J120" t="s">
        <v>930</v>
      </c>
      <c r="K120" t="s">
        <v>163</v>
      </c>
      <c r="L120" t="s">
        <v>930</v>
      </c>
      <c r="M120" t="s">
        <v>931</v>
      </c>
      <c r="N120" t="s">
        <v>68</v>
      </c>
      <c r="O120" t="s">
        <v>33</v>
      </c>
      <c r="P120" t="s">
        <v>34</v>
      </c>
      <c r="Q120">
        <v>1</v>
      </c>
      <c r="R120">
        <v>0</v>
      </c>
      <c r="S120" s="2" t="str">
        <f>IFERROR(VLOOKUP(C120,Sheet2!B:E,4,0),C120)</f>
        <v>一般产品</v>
      </c>
    </row>
    <row r="121" spans="1:19" x14ac:dyDescent="0.2">
      <c r="A121" t="s">
        <v>1754</v>
      </c>
      <c r="B121">
        <v>2998</v>
      </c>
      <c r="C121" t="s">
        <v>589</v>
      </c>
      <c r="D121" t="s">
        <v>972</v>
      </c>
      <c r="E121" t="s">
        <v>355</v>
      </c>
      <c r="F121" t="s">
        <v>356</v>
      </c>
      <c r="G121" s="2" t="s">
        <v>357</v>
      </c>
      <c r="H121" t="s">
        <v>28</v>
      </c>
      <c r="I121" t="s">
        <v>74</v>
      </c>
      <c r="J121" t="s">
        <v>75</v>
      </c>
      <c r="K121" t="s">
        <v>930</v>
      </c>
      <c r="L121" t="s">
        <v>930</v>
      </c>
      <c r="M121" t="s">
        <v>938</v>
      </c>
      <c r="N121" t="s">
        <v>44</v>
      </c>
      <c r="O121" t="s">
        <v>24</v>
      </c>
      <c r="P121" t="s">
        <v>25</v>
      </c>
      <c r="Q121">
        <v>1</v>
      </c>
      <c r="R121">
        <v>0</v>
      </c>
      <c r="S121" s="2" t="str">
        <f>IFERROR(VLOOKUP(C121,Sheet2!B:E,4,0),C121)</f>
        <v>优惠产品</v>
      </c>
    </row>
    <row r="122" spans="1:19" x14ac:dyDescent="0.2">
      <c r="A122" t="s">
        <v>1755</v>
      </c>
      <c r="B122">
        <v>3980</v>
      </c>
      <c r="C122" t="s">
        <v>575</v>
      </c>
      <c r="D122" t="s">
        <v>971</v>
      </c>
      <c r="E122" t="s">
        <v>150</v>
      </c>
      <c r="F122" t="s">
        <v>319</v>
      </c>
      <c r="G122" s="2" t="s">
        <v>320</v>
      </c>
      <c r="H122" t="s">
        <v>18</v>
      </c>
      <c r="I122" t="s">
        <v>151</v>
      </c>
      <c r="J122" t="s">
        <v>152</v>
      </c>
      <c r="K122" t="s">
        <v>930</v>
      </c>
      <c r="L122" t="s">
        <v>930</v>
      </c>
      <c r="M122" t="s">
        <v>153</v>
      </c>
      <c r="N122" t="s">
        <v>61</v>
      </c>
      <c r="O122" t="s">
        <v>129</v>
      </c>
      <c r="P122" t="s">
        <v>25</v>
      </c>
      <c r="Q122">
        <v>1</v>
      </c>
      <c r="R122">
        <v>0</v>
      </c>
      <c r="S122" s="2" t="str">
        <f>IFERROR(VLOOKUP(C122,Sheet2!B:E,4,0),C122)</f>
        <v>优惠产品</v>
      </c>
    </row>
    <row r="123" spans="1:19" x14ac:dyDescent="0.2">
      <c r="A123" t="s">
        <v>1756</v>
      </c>
      <c r="B123">
        <v>3499</v>
      </c>
      <c r="C123" t="s">
        <v>589</v>
      </c>
      <c r="D123" t="s">
        <v>972</v>
      </c>
      <c r="E123" t="s">
        <v>1704</v>
      </c>
      <c r="F123" t="s">
        <v>1705</v>
      </c>
      <c r="G123" s="2" t="s">
        <v>1706</v>
      </c>
      <c r="H123" t="s">
        <v>18</v>
      </c>
      <c r="I123" t="s">
        <v>204</v>
      </c>
      <c r="J123" t="s">
        <v>205</v>
      </c>
      <c r="K123" t="s">
        <v>930</v>
      </c>
      <c r="L123" t="s">
        <v>930</v>
      </c>
      <c r="M123" t="s">
        <v>206</v>
      </c>
      <c r="N123" t="s">
        <v>44</v>
      </c>
      <c r="O123" t="s">
        <v>24</v>
      </c>
      <c r="P123" t="s">
        <v>25</v>
      </c>
      <c r="Q123">
        <v>1</v>
      </c>
      <c r="R123">
        <v>0</v>
      </c>
      <c r="S123" s="2" t="str">
        <f>IFERROR(VLOOKUP(C123,Sheet2!B:E,4,0),C123)</f>
        <v>优惠产品</v>
      </c>
    </row>
    <row r="124" spans="1:19" x14ac:dyDescent="0.2">
      <c r="A124" t="s">
        <v>1757</v>
      </c>
      <c r="B124">
        <v>1000</v>
      </c>
      <c r="C124" t="s">
        <v>589</v>
      </c>
      <c r="D124" t="s">
        <v>50</v>
      </c>
      <c r="E124" t="s">
        <v>720</v>
      </c>
      <c r="F124" t="s">
        <v>1758</v>
      </c>
      <c r="G124" s="2" t="s">
        <v>1759</v>
      </c>
      <c r="H124" t="s">
        <v>18</v>
      </c>
      <c r="I124" t="s">
        <v>143</v>
      </c>
      <c r="J124" t="s">
        <v>144</v>
      </c>
      <c r="K124" t="s">
        <v>930</v>
      </c>
      <c r="L124" t="s">
        <v>930</v>
      </c>
      <c r="M124" t="s">
        <v>145</v>
      </c>
      <c r="N124" t="s">
        <v>146</v>
      </c>
      <c r="O124" t="s">
        <v>33</v>
      </c>
      <c r="P124" t="s">
        <v>34</v>
      </c>
      <c r="Q124">
        <v>1</v>
      </c>
      <c r="R124">
        <v>0</v>
      </c>
      <c r="S124" s="2" t="str">
        <f>IFERROR(VLOOKUP(C124,Sheet2!B:E,4,0),C124)</f>
        <v>优惠产品</v>
      </c>
    </row>
    <row r="125" spans="1:19" x14ac:dyDescent="0.2">
      <c r="A125" t="s">
        <v>1760</v>
      </c>
      <c r="B125">
        <v>3499</v>
      </c>
      <c r="C125" t="s">
        <v>26</v>
      </c>
      <c r="D125" t="s">
        <v>970</v>
      </c>
      <c r="E125" t="s">
        <v>669</v>
      </c>
      <c r="F125" t="s">
        <v>645</v>
      </c>
      <c r="G125" s="2" t="s">
        <v>646</v>
      </c>
      <c r="H125" t="s">
        <v>18</v>
      </c>
      <c r="I125" t="s">
        <v>52</v>
      </c>
      <c r="J125" t="s">
        <v>53</v>
      </c>
      <c r="K125" t="s">
        <v>930</v>
      </c>
      <c r="L125" t="s">
        <v>930</v>
      </c>
      <c r="M125" t="s">
        <v>54</v>
      </c>
      <c r="N125" t="s">
        <v>55</v>
      </c>
      <c r="O125" t="s">
        <v>33</v>
      </c>
      <c r="P125" t="s">
        <v>34</v>
      </c>
      <c r="Q125">
        <v>1</v>
      </c>
      <c r="R125">
        <v>0</v>
      </c>
      <c r="S125" s="2" t="str">
        <f>IFERROR(VLOOKUP(C125,Sheet2!B:E,4,0),C125)</f>
        <v>一般产品</v>
      </c>
    </row>
    <row r="126" spans="1:19" x14ac:dyDescent="0.2">
      <c r="A126" t="s">
        <v>1761</v>
      </c>
      <c r="B126">
        <v>4000</v>
      </c>
      <c r="C126" t="s">
        <v>26</v>
      </c>
      <c r="D126" t="s">
        <v>970</v>
      </c>
      <c r="E126" t="s">
        <v>162</v>
      </c>
      <c r="F126" t="s">
        <v>572</v>
      </c>
      <c r="G126" s="2" t="s">
        <v>573</v>
      </c>
      <c r="H126" t="s">
        <v>28</v>
      </c>
      <c r="I126" t="s">
        <v>88</v>
      </c>
      <c r="J126" t="s">
        <v>89</v>
      </c>
      <c r="K126" t="s">
        <v>930</v>
      </c>
      <c r="L126" t="s">
        <v>930</v>
      </c>
      <c r="M126" t="s">
        <v>933</v>
      </c>
      <c r="N126" t="s">
        <v>32</v>
      </c>
      <c r="O126" t="s">
        <v>33</v>
      </c>
      <c r="P126" t="s">
        <v>34</v>
      </c>
      <c r="Q126">
        <v>1</v>
      </c>
      <c r="R126">
        <v>0</v>
      </c>
      <c r="S126" s="2" t="str">
        <f>IFERROR(VLOOKUP(C126,Sheet2!B:E,4,0),C126)</f>
        <v>一般产品</v>
      </c>
    </row>
    <row r="127" spans="1:19" x14ac:dyDescent="0.2">
      <c r="A127" t="s">
        <v>1762</v>
      </c>
      <c r="B127">
        <v>2698</v>
      </c>
      <c r="C127" t="s">
        <v>575</v>
      </c>
      <c r="D127" t="s">
        <v>972</v>
      </c>
      <c r="E127" t="s">
        <v>1763</v>
      </c>
      <c r="F127" t="s">
        <v>1163</v>
      </c>
      <c r="G127" s="2" t="s">
        <v>1164</v>
      </c>
      <c r="H127" t="s">
        <v>18</v>
      </c>
      <c r="I127" t="s">
        <v>930</v>
      </c>
      <c r="J127" t="s">
        <v>930</v>
      </c>
      <c r="K127" t="s">
        <v>448</v>
      </c>
      <c r="L127" t="s">
        <v>930</v>
      </c>
      <c r="M127" t="s">
        <v>449</v>
      </c>
      <c r="N127" t="s">
        <v>194</v>
      </c>
      <c r="O127" t="s">
        <v>24</v>
      </c>
      <c r="P127" t="s">
        <v>25</v>
      </c>
      <c r="Q127">
        <v>1</v>
      </c>
      <c r="R127">
        <v>0</v>
      </c>
      <c r="S127" s="2" t="str">
        <f>IFERROR(VLOOKUP(C127,Sheet2!B:E,4,0),C127)</f>
        <v>优惠产品</v>
      </c>
    </row>
    <row r="128" spans="1:19" x14ac:dyDescent="0.2">
      <c r="A128" t="s">
        <v>1764</v>
      </c>
      <c r="B128">
        <v>1899</v>
      </c>
      <c r="C128" t="s">
        <v>26</v>
      </c>
      <c r="D128" t="s">
        <v>972</v>
      </c>
      <c r="E128" t="s">
        <v>1765</v>
      </c>
      <c r="F128" t="s">
        <v>1766</v>
      </c>
      <c r="G128" s="2" t="s">
        <v>1767</v>
      </c>
      <c r="H128" t="s">
        <v>18</v>
      </c>
      <c r="I128" t="s">
        <v>340</v>
      </c>
      <c r="J128" t="s">
        <v>341</v>
      </c>
      <c r="K128" t="s">
        <v>930</v>
      </c>
      <c r="L128" t="s">
        <v>930</v>
      </c>
      <c r="M128" t="s">
        <v>342</v>
      </c>
      <c r="N128" t="s">
        <v>44</v>
      </c>
      <c r="O128" t="s">
        <v>24</v>
      </c>
      <c r="P128" t="s">
        <v>25</v>
      </c>
      <c r="Q128">
        <v>1</v>
      </c>
      <c r="R128">
        <v>0</v>
      </c>
      <c r="S128" s="2" t="str">
        <f>IFERROR(VLOOKUP(C128,Sheet2!B:E,4,0),C128)</f>
        <v>一般产品</v>
      </c>
    </row>
    <row r="129" spans="1:19" x14ac:dyDescent="0.2">
      <c r="A129" t="s">
        <v>1768</v>
      </c>
      <c r="B129">
        <v>3800</v>
      </c>
      <c r="C129" t="s">
        <v>589</v>
      </c>
      <c r="D129" t="s">
        <v>972</v>
      </c>
      <c r="E129" t="s">
        <v>1282</v>
      </c>
      <c r="F129" t="s">
        <v>552</v>
      </c>
      <c r="G129" s="2" t="s">
        <v>553</v>
      </c>
      <c r="H129" t="s">
        <v>18</v>
      </c>
      <c r="I129" t="s">
        <v>250</v>
      </c>
      <c r="J129" t="s">
        <v>251</v>
      </c>
      <c r="K129" t="s">
        <v>930</v>
      </c>
      <c r="L129" t="s">
        <v>930</v>
      </c>
      <c r="M129" t="s">
        <v>252</v>
      </c>
      <c r="N129" t="s">
        <v>44</v>
      </c>
      <c r="O129" t="s">
        <v>24</v>
      </c>
      <c r="P129" t="s">
        <v>25</v>
      </c>
      <c r="Q129">
        <v>1</v>
      </c>
      <c r="R129">
        <v>0</v>
      </c>
      <c r="S129" s="2" t="str">
        <f>IFERROR(VLOOKUP(C129,Sheet2!B:E,4,0),C129)</f>
        <v>优惠产品</v>
      </c>
    </row>
    <row r="130" spans="1:19" x14ac:dyDescent="0.2">
      <c r="A130" t="s">
        <v>1769</v>
      </c>
      <c r="B130">
        <v>3400</v>
      </c>
      <c r="C130" t="s">
        <v>575</v>
      </c>
      <c r="D130" t="s">
        <v>726</v>
      </c>
      <c r="E130" t="s">
        <v>1770</v>
      </c>
      <c r="F130" t="s">
        <v>1156</v>
      </c>
      <c r="G130" s="2" t="s">
        <v>1157</v>
      </c>
      <c r="H130" t="s">
        <v>18</v>
      </c>
      <c r="I130" t="s">
        <v>930</v>
      </c>
      <c r="J130" t="s">
        <v>930</v>
      </c>
      <c r="K130" t="s">
        <v>743</v>
      </c>
      <c r="L130" t="s">
        <v>930</v>
      </c>
      <c r="M130" t="s">
        <v>744</v>
      </c>
      <c r="N130" t="s">
        <v>23</v>
      </c>
      <c r="O130" t="s">
        <v>117</v>
      </c>
      <c r="P130" t="s">
        <v>34</v>
      </c>
      <c r="Q130">
        <v>1</v>
      </c>
      <c r="R130">
        <v>0</v>
      </c>
      <c r="S130" s="2" t="str">
        <f>IFERROR(VLOOKUP(C130,Sheet2!B:E,4,0),C130)</f>
        <v>优惠产品</v>
      </c>
    </row>
    <row r="131" spans="1:19" x14ac:dyDescent="0.2">
      <c r="A131" t="s">
        <v>1771</v>
      </c>
      <c r="B131">
        <v>4999</v>
      </c>
      <c r="C131" t="s">
        <v>575</v>
      </c>
      <c r="D131" t="s">
        <v>971</v>
      </c>
      <c r="E131" t="s">
        <v>1772</v>
      </c>
      <c r="F131" t="s">
        <v>363</v>
      </c>
      <c r="G131" s="2" t="s">
        <v>364</v>
      </c>
      <c r="H131" t="s">
        <v>18</v>
      </c>
      <c r="I131" t="s">
        <v>304</v>
      </c>
      <c r="J131" t="s">
        <v>305</v>
      </c>
      <c r="K131" t="s">
        <v>930</v>
      </c>
      <c r="L131" t="s">
        <v>930</v>
      </c>
      <c r="M131" t="s">
        <v>306</v>
      </c>
      <c r="N131" t="s">
        <v>73</v>
      </c>
      <c r="O131" t="s">
        <v>24</v>
      </c>
      <c r="P131" t="s">
        <v>25</v>
      </c>
      <c r="Q131">
        <v>1</v>
      </c>
      <c r="R131">
        <v>0</v>
      </c>
      <c r="S131" s="2" t="str">
        <f>IFERROR(VLOOKUP(C131,Sheet2!B:E,4,0),C131)</f>
        <v>优惠产品</v>
      </c>
    </row>
    <row r="132" spans="1:19" x14ac:dyDescent="0.2">
      <c r="A132" t="s">
        <v>1773</v>
      </c>
      <c r="B132">
        <v>2599</v>
      </c>
      <c r="C132" t="s">
        <v>26</v>
      </c>
      <c r="D132" t="s">
        <v>970</v>
      </c>
      <c r="E132" t="s">
        <v>1774</v>
      </c>
      <c r="F132" t="s">
        <v>1775</v>
      </c>
      <c r="G132" s="2" t="s">
        <v>1776</v>
      </c>
      <c r="H132" t="s">
        <v>28</v>
      </c>
      <c r="I132" t="s">
        <v>930</v>
      </c>
      <c r="J132" t="s">
        <v>930</v>
      </c>
      <c r="K132" t="s">
        <v>930</v>
      </c>
      <c r="L132" t="s">
        <v>930</v>
      </c>
      <c r="M132" t="s">
        <v>45</v>
      </c>
      <c r="N132" t="s">
        <v>55</v>
      </c>
      <c r="O132" t="s">
        <v>33</v>
      </c>
      <c r="P132" t="s">
        <v>34</v>
      </c>
      <c r="Q132">
        <v>1</v>
      </c>
      <c r="R132">
        <v>0</v>
      </c>
      <c r="S132" s="2" t="str">
        <f>IFERROR(VLOOKUP(C132,Sheet2!B:E,4,0),C132)</f>
        <v>一般产品</v>
      </c>
    </row>
    <row r="133" spans="1:19" x14ac:dyDescent="0.2">
      <c r="A133" t="s">
        <v>1777</v>
      </c>
      <c r="B133">
        <v>1598</v>
      </c>
      <c r="C133" t="s">
        <v>26</v>
      </c>
      <c r="D133" t="s">
        <v>972</v>
      </c>
      <c r="E133" t="s">
        <v>1778</v>
      </c>
      <c r="F133" t="s">
        <v>687</v>
      </c>
      <c r="G133" s="2" t="s">
        <v>688</v>
      </c>
      <c r="H133" t="s">
        <v>18</v>
      </c>
      <c r="I133" t="s">
        <v>930</v>
      </c>
      <c r="J133" t="s">
        <v>930</v>
      </c>
      <c r="K133" t="s">
        <v>163</v>
      </c>
      <c r="L133" t="s">
        <v>930</v>
      </c>
      <c r="M133" t="s">
        <v>931</v>
      </c>
      <c r="N133" t="s">
        <v>68</v>
      </c>
      <c r="O133" t="s">
        <v>33</v>
      </c>
      <c r="P133" t="s">
        <v>34</v>
      </c>
      <c r="Q133">
        <v>1</v>
      </c>
      <c r="R133">
        <v>0</v>
      </c>
      <c r="S133" s="2" t="str">
        <f>IFERROR(VLOOKUP(C133,Sheet2!B:E,4,0),C133)</f>
        <v>一般产品</v>
      </c>
    </row>
    <row r="134" spans="1:19" x14ac:dyDescent="0.2">
      <c r="A134" t="s">
        <v>1779</v>
      </c>
      <c r="B134">
        <v>1000</v>
      </c>
      <c r="C134" t="s">
        <v>26</v>
      </c>
      <c r="D134" t="s">
        <v>970</v>
      </c>
      <c r="E134" t="s">
        <v>1780</v>
      </c>
      <c r="F134" t="s">
        <v>1256</v>
      </c>
      <c r="G134" s="2" t="s">
        <v>1257</v>
      </c>
      <c r="H134" t="s">
        <v>28</v>
      </c>
      <c r="I134" t="s">
        <v>182</v>
      </c>
      <c r="J134" t="s">
        <v>183</v>
      </c>
      <c r="K134" t="s">
        <v>930</v>
      </c>
      <c r="L134" t="s">
        <v>930</v>
      </c>
      <c r="M134" t="s">
        <v>184</v>
      </c>
      <c r="N134" t="s">
        <v>85</v>
      </c>
      <c r="O134" t="s">
        <v>33</v>
      </c>
      <c r="P134" t="s">
        <v>34</v>
      </c>
      <c r="Q134">
        <v>1</v>
      </c>
      <c r="R134">
        <v>0</v>
      </c>
      <c r="S134" s="2" t="str">
        <f>IFERROR(VLOOKUP(C134,Sheet2!B:E,4,0),C134)</f>
        <v>一般产品</v>
      </c>
    </row>
    <row r="135" spans="1:19" x14ac:dyDescent="0.2">
      <c r="A135" t="s">
        <v>1781</v>
      </c>
      <c r="B135">
        <v>3000</v>
      </c>
      <c r="C135" t="s">
        <v>589</v>
      </c>
      <c r="D135" t="s">
        <v>970</v>
      </c>
      <c r="E135" t="s">
        <v>1075</v>
      </c>
      <c r="F135" t="s">
        <v>1173</v>
      </c>
      <c r="G135" s="2" t="s">
        <v>1174</v>
      </c>
      <c r="H135" t="s">
        <v>18</v>
      </c>
      <c r="I135" t="s">
        <v>237</v>
      </c>
      <c r="J135" t="s">
        <v>238</v>
      </c>
      <c r="K135" t="s">
        <v>930</v>
      </c>
      <c r="L135" t="s">
        <v>930</v>
      </c>
      <c r="M135" t="s">
        <v>239</v>
      </c>
      <c r="N135" t="s">
        <v>85</v>
      </c>
      <c r="O135" t="s">
        <v>33</v>
      </c>
      <c r="P135" t="s">
        <v>34</v>
      </c>
      <c r="Q135">
        <v>1</v>
      </c>
      <c r="R135">
        <v>0</v>
      </c>
      <c r="S135" s="2" t="str">
        <f>IFERROR(VLOOKUP(C135,Sheet2!B:E,4,0),C135)</f>
        <v>优惠产品</v>
      </c>
    </row>
    <row r="136" spans="1:19" x14ac:dyDescent="0.2">
      <c r="A136" t="s">
        <v>1782</v>
      </c>
      <c r="B136">
        <v>3900</v>
      </c>
      <c r="C136" t="s">
        <v>575</v>
      </c>
      <c r="D136" t="s">
        <v>726</v>
      </c>
      <c r="E136" t="s">
        <v>1783</v>
      </c>
      <c r="F136" t="s">
        <v>1102</v>
      </c>
      <c r="G136" s="2" t="s">
        <v>1103</v>
      </c>
      <c r="H136" t="s">
        <v>28</v>
      </c>
      <c r="I136" t="s">
        <v>930</v>
      </c>
      <c r="J136" t="s">
        <v>930</v>
      </c>
      <c r="K136" t="s">
        <v>930</v>
      </c>
      <c r="L136" t="s">
        <v>930</v>
      </c>
      <c r="M136" t="s">
        <v>61</v>
      </c>
      <c r="N136" t="s">
        <v>45</v>
      </c>
      <c r="O136" t="s">
        <v>117</v>
      </c>
      <c r="P136" t="s">
        <v>34</v>
      </c>
      <c r="Q136">
        <v>1</v>
      </c>
      <c r="R136">
        <v>0</v>
      </c>
      <c r="S136" s="2" t="str">
        <f>IFERROR(VLOOKUP(C136,Sheet2!B:E,4,0),C136)</f>
        <v>优惠产品</v>
      </c>
    </row>
    <row r="137" spans="1:19" x14ac:dyDescent="0.2">
      <c r="A137" t="s">
        <v>1784</v>
      </c>
      <c r="B137">
        <v>3000</v>
      </c>
      <c r="C137" t="s">
        <v>589</v>
      </c>
      <c r="D137" t="s">
        <v>970</v>
      </c>
      <c r="E137" t="s">
        <v>1785</v>
      </c>
      <c r="F137" t="s">
        <v>154</v>
      </c>
      <c r="G137" s="2" t="s">
        <v>155</v>
      </c>
      <c r="H137" t="s">
        <v>18</v>
      </c>
      <c r="I137" t="s">
        <v>156</v>
      </c>
      <c r="J137" t="s">
        <v>157</v>
      </c>
      <c r="K137" t="s">
        <v>930</v>
      </c>
      <c r="L137" t="s">
        <v>930</v>
      </c>
      <c r="M137" t="s">
        <v>158</v>
      </c>
      <c r="N137" t="s">
        <v>146</v>
      </c>
      <c r="O137" t="s">
        <v>33</v>
      </c>
      <c r="P137" t="s">
        <v>34</v>
      </c>
      <c r="Q137">
        <v>1</v>
      </c>
      <c r="R137">
        <v>0</v>
      </c>
      <c r="S137" s="2" t="str">
        <f>IFERROR(VLOOKUP(C137,Sheet2!B:E,4,0),C137)</f>
        <v>优惠产品</v>
      </c>
    </row>
    <row r="138" spans="1:19" x14ac:dyDescent="0.2">
      <c r="A138" t="s">
        <v>1786</v>
      </c>
      <c r="B138">
        <v>1699</v>
      </c>
      <c r="C138" t="s">
        <v>26</v>
      </c>
      <c r="D138" t="s">
        <v>971</v>
      </c>
      <c r="E138" t="s">
        <v>1787</v>
      </c>
      <c r="F138" t="s">
        <v>1150</v>
      </c>
      <c r="G138" s="2" t="s">
        <v>1151</v>
      </c>
      <c r="H138" t="s">
        <v>18</v>
      </c>
      <c r="I138" t="s">
        <v>260</v>
      </c>
      <c r="J138" t="s">
        <v>261</v>
      </c>
      <c r="K138" t="s">
        <v>930</v>
      </c>
      <c r="L138" t="s">
        <v>930</v>
      </c>
      <c r="M138" t="s">
        <v>262</v>
      </c>
      <c r="N138" t="s">
        <v>45</v>
      </c>
      <c r="O138" t="s">
        <v>48</v>
      </c>
      <c r="P138" t="s">
        <v>49</v>
      </c>
      <c r="Q138">
        <v>1</v>
      </c>
      <c r="R138">
        <v>0</v>
      </c>
      <c r="S138" s="2" t="str">
        <f>IFERROR(VLOOKUP(C138,Sheet2!B:E,4,0),C138)</f>
        <v>一般产品</v>
      </c>
    </row>
    <row r="139" spans="1:19" x14ac:dyDescent="0.2">
      <c r="A139" t="s">
        <v>1788</v>
      </c>
      <c r="B139">
        <v>999</v>
      </c>
      <c r="C139" t="s">
        <v>589</v>
      </c>
      <c r="D139" t="s">
        <v>972</v>
      </c>
      <c r="E139" t="s">
        <v>1144</v>
      </c>
      <c r="F139" t="s">
        <v>1163</v>
      </c>
      <c r="G139" s="2" t="s">
        <v>1164</v>
      </c>
      <c r="H139" t="s">
        <v>18</v>
      </c>
      <c r="I139" t="s">
        <v>930</v>
      </c>
      <c r="J139" t="s">
        <v>930</v>
      </c>
      <c r="K139" t="s">
        <v>448</v>
      </c>
      <c r="L139" t="s">
        <v>930</v>
      </c>
      <c r="M139" t="s">
        <v>449</v>
      </c>
      <c r="N139" t="s">
        <v>194</v>
      </c>
      <c r="O139" t="s">
        <v>24</v>
      </c>
      <c r="P139" t="s">
        <v>25</v>
      </c>
      <c r="Q139">
        <v>1</v>
      </c>
      <c r="R139">
        <v>0</v>
      </c>
      <c r="S139" s="2" t="str">
        <f>IFERROR(VLOOKUP(C139,Sheet2!B:E,4,0),C139)</f>
        <v>优惠产品</v>
      </c>
    </row>
    <row r="140" spans="1:19" x14ac:dyDescent="0.2">
      <c r="A140" t="s">
        <v>1789</v>
      </c>
      <c r="B140">
        <v>2000</v>
      </c>
      <c r="C140" t="s">
        <v>26</v>
      </c>
      <c r="D140" t="s">
        <v>50</v>
      </c>
      <c r="E140" t="s">
        <v>1790</v>
      </c>
      <c r="F140" t="s">
        <v>1068</v>
      </c>
      <c r="G140" s="2" t="s">
        <v>1069</v>
      </c>
      <c r="H140" t="s">
        <v>18</v>
      </c>
      <c r="I140" t="s">
        <v>121</v>
      </c>
      <c r="J140" t="s">
        <v>122</v>
      </c>
      <c r="K140" t="s">
        <v>930</v>
      </c>
      <c r="L140" t="s">
        <v>930</v>
      </c>
      <c r="M140" t="s">
        <v>123</v>
      </c>
      <c r="N140" t="s">
        <v>55</v>
      </c>
      <c r="O140" t="s">
        <v>33</v>
      </c>
      <c r="P140" t="s">
        <v>34</v>
      </c>
      <c r="Q140">
        <v>1</v>
      </c>
      <c r="R140">
        <v>0</v>
      </c>
      <c r="S140" s="2" t="str">
        <f>IFERROR(VLOOKUP(C140,Sheet2!B:E,4,0),C140)</f>
        <v>一般产品</v>
      </c>
    </row>
    <row r="141" spans="1:19" x14ac:dyDescent="0.2">
      <c r="A141" t="s">
        <v>1791</v>
      </c>
      <c r="B141">
        <v>3000</v>
      </c>
      <c r="C141" t="s">
        <v>26</v>
      </c>
      <c r="D141" t="s">
        <v>972</v>
      </c>
      <c r="E141" t="s">
        <v>848</v>
      </c>
      <c r="F141" t="s">
        <v>819</v>
      </c>
      <c r="G141" s="2" t="s">
        <v>820</v>
      </c>
      <c r="H141" t="s">
        <v>18</v>
      </c>
      <c r="I141" t="s">
        <v>930</v>
      </c>
      <c r="J141" t="s">
        <v>930</v>
      </c>
      <c r="K141" t="s">
        <v>163</v>
      </c>
      <c r="L141" t="s">
        <v>930</v>
      </c>
      <c r="M141" t="s">
        <v>931</v>
      </c>
      <c r="N141" t="s">
        <v>68</v>
      </c>
      <c r="O141" t="s">
        <v>33</v>
      </c>
      <c r="P141" t="s">
        <v>34</v>
      </c>
      <c r="Q141">
        <v>1</v>
      </c>
      <c r="R141">
        <v>0</v>
      </c>
      <c r="S141" s="2" t="str">
        <f>IFERROR(VLOOKUP(C141,Sheet2!B:E,4,0),C141)</f>
        <v>一般产品</v>
      </c>
    </row>
    <row r="142" spans="1:19" x14ac:dyDescent="0.2">
      <c r="A142" t="s">
        <v>1792</v>
      </c>
      <c r="B142">
        <v>3000</v>
      </c>
      <c r="C142" t="s">
        <v>26</v>
      </c>
      <c r="D142" t="s">
        <v>970</v>
      </c>
      <c r="E142" t="s">
        <v>1793</v>
      </c>
      <c r="F142" t="s">
        <v>952</v>
      </c>
      <c r="G142" s="2" t="s">
        <v>953</v>
      </c>
      <c r="H142" t="s">
        <v>18</v>
      </c>
      <c r="I142" t="s">
        <v>505</v>
      </c>
      <c r="J142" t="s">
        <v>506</v>
      </c>
      <c r="K142" t="s">
        <v>930</v>
      </c>
      <c r="L142" t="s">
        <v>930</v>
      </c>
      <c r="M142" t="s">
        <v>507</v>
      </c>
      <c r="N142" t="s">
        <v>51</v>
      </c>
      <c r="O142" t="s">
        <v>33</v>
      </c>
      <c r="P142" t="s">
        <v>34</v>
      </c>
      <c r="Q142">
        <v>1</v>
      </c>
      <c r="R142">
        <v>0</v>
      </c>
      <c r="S142" s="2" t="str">
        <f>IFERROR(VLOOKUP(C142,Sheet2!B:E,4,0),C142)</f>
        <v>一般产品</v>
      </c>
    </row>
    <row r="143" spans="1:19" x14ac:dyDescent="0.2">
      <c r="A143" t="s">
        <v>1794</v>
      </c>
      <c r="B143">
        <v>3980</v>
      </c>
      <c r="C143" t="s">
        <v>575</v>
      </c>
      <c r="D143" t="s">
        <v>971</v>
      </c>
      <c r="E143" t="s">
        <v>557</v>
      </c>
      <c r="F143" t="s">
        <v>1368</v>
      </c>
      <c r="G143" s="2" t="s">
        <v>1369</v>
      </c>
      <c r="H143" t="s">
        <v>18</v>
      </c>
      <c r="I143" t="s">
        <v>151</v>
      </c>
      <c r="J143" t="s">
        <v>152</v>
      </c>
      <c r="K143" t="s">
        <v>930</v>
      </c>
      <c r="L143" t="s">
        <v>930</v>
      </c>
      <c r="M143" t="s">
        <v>153</v>
      </c>
      <c r="N143" t="s">
        <v>61</v>
      </c>
      <c r="O143" t="s">
        <v>129</v>
      </c>
      <c r="P143" t="s">
        <v>25</v>
      </c>
      <c r="Q143">
        <v>1</v>
      </c>
      <c r="R143">
        <v>0</v>
      </c>
      <c r="S143" s="2" t="str">
        <f>IFERROR(VLOOKUP(C143,Sheet2!B:E,4,0),C143)</f>
        <v>优惠产品</v>
      </c>
    </row>
    <row r="144" spans="1:19" x14ac:dyDescent="0.2">
      <c r="A144" t="s">
        <v>1795</v>
      </c>
      <c r="B144">
        <v>2600</v>
      </c>
      <c r="C144" t="s">
        <v>26</v>
      </c>
      <c r="D144" t="s">
        <v>50</v>
      </c>
      <c r="E144" t="s">
        <v>1796</v>
      </c>
      <c r="F144" t="s">
        <v>1372</v>
      </c>
      <c r="G144" s="2" t="s">
        <v>1373</v>
      </c>
      <c r="H144" t="s">
        <v>18</v>
      </c>
      <c r="I144" t="s">
        <v>930</v>
      </c>
      <c r="J144" t="s">
        <v>930</v>
      </c>
      <c r="K144" t="s">
        <v>79</v>
      </c>
      <c r="L144" t="s">
        <v>930</v>
      </c>
      <c r="M144" t="s">
        <v>80</v>
      </c>
      <c r="N144" t="s">
        <v>51</v>
      </c>
      <c r="O144" t="s">
        <v>33</v>
      </c>
      <c r="P144" t="s">
        <v>34</v>
      </c>
      <c r="Q144">
        <v>1</v>
      </c>
      <c r="R144">
        <v>0</v>
      </c>
      <c r="S144" s="2" t="str">
        <f>IFERROR(VLOOKUP(C144,Sheet2!B:E,4,0),C144)</f>
        <v>一般产品</v>
      </c>
    </row>
    <row r="145" spans="1:19" x14ac:dyDescent="0.2">
      <c r="A145" t="s">
        <v>1797</v>
      </c>
      <c r="B145">
        <v>3000</v>
      </c>
      <c r="C145" t="s">
        <v>580</v>
      </c>
      <c r="D145" t="s">
        <v>50</v>
      </c>
      <c r="E145" t="s">
        <v>1114</v>
      </c>
      <c r="F145" t="s">
        <v>1193</v>
      </c>
      <c r="G145" s="2" t="s">
        <v>1194</v>
      </c>
      <c r="H145" t="s">
        <v>18</v>
      </c>
      <c r="I145" t="s">
        <v>930</v>
      </c>
      <c r="J145" t="s">
        <v>930</v>
      </c>
      <c r="K145" t="s">
        <v>414</v>
      </c>
      <c r="L145" t="s">
        <v>930</v>
      </c>
      <c r="M145" t="s">
        <v>415</v>
      </c>
      <c r="N145" t="s">
        <v>114</v>
      </c>
      <c r="O145" t="s">
        <v>24</v>
      </c>
      <c r="P145" t="s">
        <v>25</v>
      </c>
      <c r="Q145">
        <v>1</v>
      </c>
      <c r="R145">
        <v>0</v>
      </c>
      <c r="S145" s="2" t="str">
        <f>IFERROR(VLOOKUP(C145,Sheet2!B:E,4,0),C145)</f>
        <v>10期贷</v>
      </c>
    </row>
    <row r="146" spans="1:19" x14ac:dyDescent="0.2">
      <c r="A146" t="s">
        <v>1798</v>
      </c>
      <c r="B146">
        <v>3148</v>
      </c>
      <c r="C146" t="s">
        <v>589</v>
      </c>
      <c r="D146" t="s">
        <v>972</v>
      </c>
      <c r="E146" t="s">
        <v>444</v>
      </c>
      <c r="F146" t="s">
        <v>1416</v>
      </c>
      <c r="G146" s="2" t="s">
        <v>1417</v>
      </c>
      <c r="H146" t="s">
        <v>18</v>
      </c>
      <c r="I146" t="s">
        <v>340</v>
      </c>
      <c r="J146" t="s">
        <v>341</v>
      </c>
      <c r="K146" t="s">
        <v>930</v>
      </c>
      <c r="L146" t="s">
        <v>930</v>
      </c>
      <c r="M146" t="s">
        <v>342</v>
      </c>
      <c r="N146" t="s">
        <v>44</v>
      </c>
      <c r="O146" t="s">
        <v>24</v>
      </c>
      <c r="P146" t="s">
        <v>25</v>
      </c>
      <c r="Q146">
        <v>1</v>
      </c>
      <c r="R146">
        <v>0</v>
      </c>
      <c r="S146" s="2" t="str">
        <f>IFERROR(VLOOKUP(C146,Sheet2!B:E,4,0),C146)</f>
        <v>优惠产品</v>
      </c>
    </row>
    <row r="147" spans="1:19" x14ac:dyDescent="0.2">
      <c r="A147" t="s">
        <v>1799</v>
      </c>
      <c r="B147">
        <v>2800</v>
      </c>
      <c r="C147" t="s">
        <v>26</v>
      </c>
      <c r="D147" t="s">
        <v>972</v>
      </c>
      <c r="E147" t="s">
        <v>1800</v>
      </c>
      <c r="F147" t="s">
        <v>459</v>
      </c>
      <c r="G147" s="2" t="s">
        <v>460</v>
      </c>
      <c r="H147" t="s">
        <v>18</v>
      </c>
      <c r="I147" t="s">
        <v>250</v>
      </c>
      <c r="J147" t="s">
        <v>251</v>
      </c>
      <c r="K147" t="s">
        <v>930</v>
      </c>
      <c r="L147" t="s">
        <v>930</v>
      </c>
      <c r="M147" t="s">
        <v>252</v>
      </c>
      <c r="N147" t="s">
        <v>44</v>
      </c>
      <c r="O147" t="s">
        <v>24</v>
      </c>
      <c r="P147" t="s">
        <v>25</v>
      </c>
      <c r="Q147">
        <v>1</v>
      </c>
      <c r="R147">
        <v>0</v>
      </c>
      <c r="S147" s="2" t="str">
        <f>IFERROR(VLOOKUP(C147,Sheet2!B:E,4,0),C147)</f>
        <v>一般产品</v>
      </c>
    </row>
    <row r="148" spans="1:19" x14ac:dyDescent="0.2">
      <c r="A148" t="s">
        <v>1801</v>
      </c>
      <c r="B148">
        <v>2999</v>
      </c>
      <c r="C148" t="s">
        <v>26</v>
      </c>
      <c r="D148" t="s">
        <v>972</v>
      </c>
      <c r="E148" t="s">
        <v>1802</v>
      </c>
      <c r="F148" t="s">
        <v>581</v>
      </c>
      <c r="G148" s="2" t="s">
        <v>582</v>
      </c>
      <c r="H148" t="s">
        <v>28</v>
      </c>
      <c r="I148" t="s">
        <v>301</v>
      </c>
      <c r="J148" t="s">
        <v>302</v>
      </c>
      <c r="K148" t="s">
        <v>930</v>
      </c>
      <c r="L148" t="s">
        <v>930</v>
      </c>
      <c r="M148" t="s">
        <v>303</v>
      </c>
      <c r="N148" t="s">
        <v>194</v>
      </c>
      <c r="O148" t="s">
        <v>24</v>
      </c>
      <c r="P148" t="s">
        <v>25</v>
      </c>
      <c r="Q148">
        <v>1</v>
      </c>
      <c r="R148">
        <v>0</v>
      </c>
      <c r="S148" s="2" t="str">
        <f>IFERROR(VLOOKUP(C148,Sheet2!B:E,4,0),C148)</f>
        <v>一般产品</v>
      </c>
    </row>
    <row r="149" spans="1:19" x14ac:dyDescent="0.2">
      <c r="A149" t="s">
        <v>1803</v>
      </c>
      <c r="B149">
        <v>2298</v>
      </c>
      <c r="C149" t="s">
        <v>26</v>
      </c>
      <c r="D149" t="s">
        <v>971</v>
      </c>
      <c r="E149" t="s">
        <v>1804</v>
      </c>
      <c r="F149" t="s">
        <v>1312</v>
      </c>
      <c r="G149" s="2" t="s">
        <v>1313</v>
      </c>
      <c r="H149" t="s">
        <v>18</v>
      </c>
      <c r="I149" t="s">
        <v>248</v>
      </c>
      <c r="J149" t="s">
        <v>249</v>
      </c>
      <c r="K149" t="s">
        <v>930</v>
      </c>
      <c r="L149" t="s">
        <v>930</v>
      </c>
      <c r="M149" t="s">
        <v>1049</v>
      </c>
      <c r="N149" t="s">
        <v>73</v>
      </c>
      <c r="O149" t="s">
        <v>24</v>
      </c>
      <c r="P149" t="s">
        <v>25</v>
      </c>
      <c r="Q149">
        <v>1</v>
      </c>
      <c r="R149">
        <v>0</v>
      </c>
      <c r="S149" s="2" t="str">
        <f>IFERROR(VLOOKUP(C149,Sheet2!B:E,4,0),C149)</f>
        <v>一般产品</v>
      </c>
    </row>
    <row r="150" spans="1:19" x14ac:dyDescent="0.2">
      <c r="A150" t="s">
        <v>1805</v>
      </c>
      <c r="B150">
        <v>2699</v>
      </c>
      <c r="C150" t="s">
        <v>26</v>
      </c>
      <c r="D150" t="s">
        <v>970</v>
      </c>
      <c r="E150" t="s">
        <v>1806</v>
      </c>
      <c r="F150" t="s">
        <v>427</v>
      </c>
      <c r="G150" s="2" t="s">
        <v>428</v>
      </c>
      <c r="H150" t="s">
        <v>18</v>
      </c>
      <c r="I150" t="s">
        <v>269</v>
      </c>
      <c r="J150" t="s">
        <v>270</v>
      </c>
      <c r="K150" t="s">
        <v>930</v>
      </c>
      <c r="L150" t="s">
        <v>930</v>
      </c>
      <c r="M150" t="s">
        <v>271</v>
      </c>
      <c r="N150" t="s">
        <v>47</v>
      </c>
      <c r="O150" t="s">
        <v>33</v>
      </c>
      <c r="P150" t="s">
        <v>34</v>
      </c>
      <c r="Q150">
        <v>1</v>
      </c>
      <c r="R150">
        <v>0</v>
      </c>
      <c r="S150" s="2" t="str">
        <f>IFERROR(VLOOKUP(C150,Sheet2!B:E,4,0),C150)</f>
        <v>一般产品</v>
      </c>
    </row>
    <row r="151" spans="1:19" x14ac:dyDescent="0.2">
      <c r="A151" t="s">
        <v>1807</v>
      </c>
      <c r="B151">
        <v>2998</v>
      </c>
      <c r="C151" t="s">
        <v>589</v>
      </c>
      <c r="D151" t="s">
        <v>50</v>
      </c>
      <c r="E151" t="s">
        <v>1663</v>
      </c>
      <c r="F151" t="s">
        <v>1223</v>
      </c>
      <c r="G151" s="2" t="s">
        <v>1224</v>
      </c>
      <c r="H151" t="s">
        <v>28</v>
      </c>
      <c r="I151" t="s">
        <v>930</v>
      </c>
      <c r="J151" t="s">
        <v>930</v>
      </c>
      <c r="K151" t="s">
        <v>1225</v>
      </c>
      <c r="L151" t="s">
        <v>930</v>
      </c>
      <c r="M151" t="s">
        <v>1226</v>
      </c>
      <c r="N151" t="s">
        <v>44</v>
      </c>
      <c r="O151" t="s">
        <v>24</v>
      </c>
      <c r="P151" t="s">
        <v>25</v>
      </c>
      <c r="Q151">
        <v>1</v>
      </c>
      <c r="R151">
        <v>0</v>
      </c>
      <c r="S151" s="2" t="str">
        <f>IFERROR(VLOOKUP(C151,Sheet2!B:E,4,0),C151)</f>
        <v>优惠产品</v>
      </c>
    </row>
    <row r="152" spans="1:19" x14ac:dyDescent="0.2">
      <c r="A152" t="s">
        <v>1808</v>
      </c>
      <c r="B152">
        <v>1000</v>
      </c>
      <c r="C152" t="s">
        <v>26</v>
      </c>
      <c r="D152" t="s">
        <v>50</v>
      </c>
      <c r="E152" t="s">
        <v>602</v>
      </c>
      <c r="F152" t="s">
        <v>603</v>
      </c>
      <c r="G152" s="2" t="s">
        <v>604</v>
      </c>
      <c r="H152" t="s">
        <v>18</v>
      </c>
      <c r="I152" t="s">
        <v>221</v>
      </c>
      <c r="J152" t="s">
        <v>222</v>
      </c>
      <c r="K152" t="s">
        <v>930</v>
      </c>
      <c r="L152" t="s">
        <v>930</v>
      </c>
      <c r="M152" t="s">
        <v>223</v>
      </c>
      <c r="N152" t="s">
        <v>55</v>
      </c>
      <c r="O152" t="s">
        <v>33</v>
      </c>
      <c r="P152" t="s">
        <v>34</v>
      </c>
      <c r="Q152">
        <v>1</v>
      </c>
      <c r="R152">
        <v>0</v>
      </c>
      <c r="S152" s="2" t="str">
        <f>IFERROR(VLOOKUP(C152,Sheet2!B:E,4,0),C152)</f>
        <v>一般产品</v>
      </c>
    </row>
    <row r="153" spans="1:19" x14ac:dyDescent="0.2">
      <c r="A153" t="s">
        <v>1809</v>
      </c>
      <c r="B153">
        <v>3598</v>
      </c>
      <c r="C153" t="s">
        <v>26</v>
      </c>
      <c r="D153" t="s">
        <v>972</v>
      </c>
      <c r="E153" t="s">
        <v>1810</v>
      </c>
      <c r="F153" t="s">
        <v>372</v>
      </c>
      <c r="G153" s="2" t="s">
        <v>373</v>
      </c>
      <c r="H153" t="s">
        <v>18</v>
      </c>
      <c r="I153" t="s">
        <v>421</v>
      </c>
      <c r="J153" t="s">
        <v>422</v>
      </c>
      <c r="K153" t="s">
        <v>930</v>
      </c>
      <c r="L153" t="s">
        <v>930</v>
      </c>
      <c r="M153" t="s">
        <v>423</v>
      </c>
      <c r="N153" t="s">
        <v>68</v>
      </c>
      <c r="O153" t="s">
        <v>33</v>
      </c>
      <c r="P153" t="s">
        <v>34</v>
      </c>
      <c r="Q153">
        <v>1</v>
      </c>
      <c r="R153">
        <v>0</v>
      </c>
      <c r="S153" s="2" t="str">
        <f>IFERROR(VLOOKUP(C153,Sheet2!B:E,4,0),C153)</f>
        <v>一般产品</v>
      </c>
    </row>
    <row r="154" spans="1:19" x14ac:dyDescent="0.2">
      <c r="A154" t="s">
        <v>1811</v>
      </c>
      <c r="B154">
        <v>2000</v>
      </c>
      <c r="C154" t="s">
        <v>589</v>
      </c>
      <c r="D154" t="s">
        <v>970</v>
      </c>
      <c r="E154" t="s">
        <v>1812</v>
      </c>
      <c r="F154" t="s">
        <v>1813</v>
      </c>
      <c r="G154" s="2" t="s">
        <v>1814</v>
      </c>
      <c r="H154" t="s">
        <v>28</v>
      </c>
      <c r="I154" t="s">
        <v>156</v>
      </c>
      <c r="J154" t="s">
        <v>157</v>
      </c>
      <c r="K154" t="s">
        <v>930</v>
      </c>
      <c r="L154" t="s">
        <v>930</v>
      </c>
      <c r="M154" t="s">
        <v>158</v>
      </c>
      <c r="N154" t="s">
        <v>146</v>
      </c>
      <c r="O154" t="s">
        <v>33</v>
      </c>
      <c r="P154" t="s">
        <v>34</v>
      </c>
      <c r="Q154">
        <v>1</v>
      </c>
      <c r="R154">
        <v>0</v>
      </c>
      <c r="S154" s="2" t="str">
        <f>IFERROR(VLOOKUP(C154,Sheet2!B:E,4,0),C154)</f>
        <v>优惠产品</v>
      </c>
    </row>
    <row r="155" spans="1:19" x14ac:dyDescent="0.2">
      <c r="A155" t="s">
        <v>1815</v>
      </c>
      <c r="B155">
        <v>2500</v>
      </c>
      <c r="C155" t="s">
        <v>589</v>
      </c>
      <c r="D155" t="s">
        <v>970</v>
      </c>
      <c r="E155" t="s">
        <v>1816</v>
      </c>
      <c r="F155" t="s">
        <v>1817</v>
      </c>
      <c r="G155" s="2" t="s">
        <v>1818</v>
      </c>
      <c r="H155" t="s">
        <v>18</v>
      </c>
      <c r="I155" t="s">
        <v>490</v>
      </c>
      <c r="J155" t="s">
        <v>491</v>
      </c>
      <c r="K155" t="s">
        <v>930</v>
      </c>
      <c r="L155" t="s">
        <v>930</v>
      </c>
      <c r="M155" t="s">
        <v>492</v>
      </c>
      <c r="N155" t="s">
        <v>146</v>
      </c>
      <c r="O155" t="s">
        <v>33</v>
      </c>
      <c r="P155" t="s">
        <v>34</v>
      </c>
      <c r="Q155">
        <v>1</v>
      </c>
      <c r="R155">
        <v>0</v>
      </c>
      <c r="S155" s="2" t="str">
        <f>IFERROR(VLOOKUP(C155,Sheet2!B:E,4,0),C155)</f>
        <v>优惠产品</v>
      </c>
    </row>
    <row r="156" spans="1:19" x14ac:dyDescent="0.2">
      <c r="A156" t="s">
        <v>1819</v>
      </c>
      <c r="B156">
        <v>3200</v>
      </c>
      <c r="C156" t="s">
        <v>26</v>
      </c>
      <c r="D156" t="s">
        <v>50</v>
      </c>
      <c r="E156" t="s">
        <v>520</v>
      </c>
      <c r="F156" t="s">
        <v>1010</v>
      </c>
      <c r="G156" s="2" t="s">
        <v>1011</v>
      </c>
      <c r="H156" t="s">
        <v>18</v>
      </c>
      <c r="I156" t="s">
        <v>81</v>
      </c>
      <c r="J156" t="s">
        <v>1230</v>
      </c>
      <c r="K156" t="s">
        <v>930</v>
      </c>
      <c r="L156" t="s">
        <v>930</v>
      </c>
      <c r="M156" t="s">
        <v>1231</v>
      </c>
      <c r="N156" t="s">
        <v>68</v>
      </c>
      <c r="O156" t="s">
        <v>33</v>
      </c>
      <c r="P156" t="s">
        <v>34</v>
      </c>
      <c r="Q156">
        <v>1</v>
      </c>
      <c r="R156">
        <v>0</v>
      </c>
      <c r="S156" s="2" t="str">
        <f>IFERROR(VLOOKUP(C156,Sheet2!B:E,4,0),C156)</f>
        <v>一般产品</v>
      </c>
    </row>
    <row r="157" spans="1:19" x14ac:dyDescent="0.2">
      <c r="A157" t="s">
        <v>1820</v>
      </c>
      <c r="B157">
        <v>2599</v>
      </c>
      <c r="C157" t="s">
        <v>589</v>
      </c>
      <c r="D157" t="s">
        <v>972</v>
      </c>
      <c r="E157" t="s">
        <v>1821</v>
      </c>
      <c r="F157" t="s">
        <v>1163</v>
      </c>
      <c r="G157" s="2" t="s">
        <v>1164</v>
      </c>
      <c r="H157" t="s">
        <v>18</v>
      </c>
      <c r="I157" t="s">
        <v>930</v>
      </c>
      <c r="J157" t="s">
        <v>930</v>
      </c>
      <c r="K157" t="s">
        <v>448</v>
      </c>
      <c r="L157" t="s">
        <v>930</v>
      </c>
      <c r="M157" t="s">
        <v>449</v>
      </c>
      <c r="N157" t="s">
        <v>194</v>
      </c>
      <c r="O157" t="s">
        <v>24</v>
      </c>
      <c r="P157" t="s">
        <v>25</v>
      </c>
      <c r="Q157">
        <v>1</v>
      </c>
      <c r="R157">
        <v>0</v>
      </c>
      <c r="S157" s="2" t="str">
        <f>IFERROR(VLOOKUP(C157,Sheet2!B:E,4,0),C157)</f>
        <v>优惠产品</v>
      </c>
    </row>
    <row r="158" spans="1:19" x14ac:dyDescent="0.2">
      <c r="A158" t="s">
        <v>1822</v>
      </c>
      <c r="B158">
        <v>1998</v>
      </c>
      <c r="C158" t="s">
        <v>575</v>
      </c>
      <c r="D158" t="s">
        <v>970</v>
      </c>
      <c r="E158" t="s">
        <v>1823</v>
      </c>
      <c r="F158" t="s">
        <v>1824</v>
      </c>
      <c r="G158" s="2" t="s">
        <v>1825</v>
      </c>
      <c r="H158" t="s">
        <v>18</v>
      </c>
      <c r="I158" t="s">
        <v>195</v>
      </c>
      <c r="J158" t="s">
        <v>196</v>
      </c>
      <c r="K158" t="s">
        <v>930</v>
      </c>
      <c r="L158" t="s">
        <v>930</v>
      </c>
      <c r="M158" t="s">
        <v>197</v>
      </c>
      <c r="N158" t="s">
        <v>136</v>
      </c>
      <c r="O158" t="s">
        <v>95</v>
      </c>
      <c r="P158" t="s">
        <v>90</v>
      </c>
      <c r="Q158">
        <v>1</v>
      </c>
      <c r="R158">
        <v>0</v>
      </c>
      <c r="S158" s="2" t="str">
        <f>IFERROR(VLOOKUP(C158,Sheet2!B:E,4,0),C158)</f>
        <v>优惠产品</v>
      </c>
    </row>
    <row r="159" spans="1:19" x14ac:dyDescent="0.2">
      <c r="A159" t="s">
        <v>1826</v>
      </c>
      <c r="B159">
        <v>2799</v>
      </c>
      <c r="C159" t="s">
        <v>575</v>
      </c>
      <c r="D159" t="s">
        <v>971</v>
      </c>
      <c r="E159" t="s">
        <v>1827</v>
      </c>
      <c r="F159" t="s">
        <v>1273</v>
      </c>
      <c r="G159" s="2" t="s">
        <v>1274</v>
      </c>
      <c r="H159" t="s">
        <v>18</v>
      </c>
      <c r="I159" t="s">
        <v>304</v>
      </c>
      <c r="J159" t="s">
        <v>305</v>
      </c>
      <c r="K159" t="s">
        <v>930</v>
      </c>
      <c r="L159" t="s">
        <v>930</v>
      </c>
      <c r="M159" t="s">
        <v>306</v>
      </c>
      <c r="N159" t="s">
        <v>73</v>
      </c>
      <c r="O159" t="s">
        <v>24</v>
      </c>
      <c r="P159" t="s">
        <v>25</v>
      </c>
      <c r="Q159">
        <v>1</v>
      </c>
      <c r="R159">
        <v>0</v>
      </c>
      <c r="S159" s="2" t="str">
        <f>IFERROR(VLOOKUP(C159,Sheet2!B:E,4,0),C159)</f>
        <v>优惠产品</v>
      </c>
    </row>
    <row r="160" spans="1:19" x14ac:dyDescent="0.2">
      <c r="A160" t="s">
        <v>1828</v>
      </c>
      <c r="B160">
        <v>2999</v>
      </c>
      <c r="C160" t="s">
        <v>589</v>
      </c>
      <c r="D160" t="s">
        <v>971</v>
      </c>
      <c r="E160" t="s">
        <v>1209</v>
      </c>
      <c r="F160" t="s">
        <v>546</v>
      </c>
      <c r="G160" s="2" t="s">
        <v>547</v>
      </c>
      <c r="H160" t="s">
        <v>18</v>
      </c>
      <c r="I160" t="s">
        <v>311</v>
      </c>
      <c r="J160" t="s">
        <v>312</v>
      </c>
      <c r="K160" t="s">
        <v>930</v>
      </c>
      <c r="L160" t="s">
        <v>930</v>
      </c>
      <c r="M160" t="s">
        <v>313</v>
      </c>
      <c r="N160" t="s">
        <v>194</v>
      </c>
      <c r="O160" t="s">
        <v>24</v>
      </c>
      <c r="P160" t="s">
        <v>25</v>
      </c>
      <c r="Q160">
        <v>1</v>
      </c>
      <c r="R160">
        <v>0</v>
      </c>
      <c r="S160" s="2" t="str">
        <f>IFERROR(VLOOKUP(C160,Sheet2!B:E,4,0),C160)</f>
        <v>优惠产品</v>
      </c>
    </row>
    <row r="161" spans="1:19" x14ac:dyDescent="0.2">
      <c r="A161" t="s">
        <v>1829</v>
      </c>
      <c r="B161">
        <v>3998</v>
      </c>
      <c r="C161" t="s">
        <v>26</v>
      </c>
      <c r="D161" t="s">
        <v>970</v>
      </c>
      <c r="E161" t="s">
        <v>523</v>
      </c>
      <c r="F161" t="s">
        <v>583</v>
      </c>
      <c r="G161" s="2" t="s">
        <v>584</v>
      </c>
      <c r="H161" t="s">
        <v>18</v>
      </c>
      <c r="I161" t="s">
        <v>81</v>
      </c>
      <c r="J161" t="s">
        <v>1230</v>
      </c>
      <c r="K161" t="s">
        <v>930</v>
      </c>
      <c r="L161" t="s">
        <v>930</v>
      </c>
      <c r="M161" t="s">
        <v>1231</v>
      </c>
      <c r="N161" t="s">
        <v>68</v>
      </c>
      <c r="O161" t="s">
        <v>33</v>
      </c>
      <c r="P161" t="s">
        <v>34</v>
      </c>
      <c r="Q161">
        <v>1</v>
      </c>
      <c r="R161">
        <v>0</v>
      </c>
      <c r="S161" s="2" t="str">
        <f>IFERROR(VLOOKUP(C161,Sheet2!B:E,4,0),C161)</f>
        <v>一般产品</v>
      </c>
    </row>
    <row r="162" spans="1:19" x14ac:dyDescent="0.2">
      <c r="A162" t="s">
        <v>1830</v>
      </c>
      <c r="B162">
        <v>2498</v>
      </c>
      <c r="C162" t="s">
        <v>26</v>
      </c>
      <c r="D162" t="s">
        <v>972</v>
      </c>
      <c r="E162" t="s">
        <v>1831</v>
      </c>
      <c r="F162" t="s">
        <v>653</v>
      </c>
      <c r="G162" s="2" t="s">
        <v>654</v>
      </c>
      <c r="H162" t="s">
        <v>18</v>
      </c>
      <c r="I162" t="s">
        <v>930</v>
      </c>
      <c r="J162" t="s">
        <v>930</v>
      </c>
      <c r="K162" t="s">
        <v>463</v>
      </c>
      <c r="L162" t="s">
        <v>930</v>
      </c>
      <c r="M162" t="s">
        <v>464</v>
      </c>
      <c r="N162" t="s">
        <v>60</v>
      </c>
      <c r="O162" t="s">
        <v>72</v>
      </c>
      <c r="P162" t="s">
        <v>34</v>
      </c>
      <c r="Q162">
        <v>1</v>
      </c>
      <c r="R162">
        <v>0</v>
      </c>
      <c r="S162" s="2" t="str">
        <f>IFERROR(VLOOKUP(C162,Sheet2!B:E,4,0),C162)</f>
        <v>一般产品</v>
      </c>
    </row>
    <row r="163" spans="1:19" x14ac:dyDescent="0.2">
      <c r="A163" t="s">
        <v>1832</v>
      </c>
      <c r="B163">
        <v>3799</v>
      </c>
      <c r="C163" t="s">
        <v>589</v>
      </c>
      <c r="D163" t="s">
        <v>972</v>
      </c>
      <c r="E163" t="s">
        <v>276</v>
      </c>
      <c r="F163" t="s">
        <v>806</v>
      </c>
      <c r="G163" s="2" t="s">
        <v>807</v>
      </c>
      <c r="H163" t="s">
        <v>18</v>
      </c>
      <c r="I163" t="s">
        <v>277</v>
      </c>
      <c r="J163" t="s">
        <v>278</v>
      </c>
      <c r="K163" t="s">
        <v>930</v>
      </c>
      <c r="L163" t="s">
        <v>930</v>
      </c>
      <c r="M163" t="s">
        <v>279</v>
      </c>
      <c r="N163" t="s">
        <v>44</v>
      </c>
      <c r="O163" t="s">
        <v>24</v>
      </c>
      <c r="P163" t="s">
        <v>25</v>
      </c>
      <c r="Q163">
        <v>1</v>
      </c>
      <c r="R163">
        <v>0</v>
      </c>
      <c r="S163" s="2" t="str">
        <f>IFERROR(VLOOKUP(C163,Sheet2!B:E,4,0),C163)</f>
        <v>优惠产品</v>
      </c>
    </row>
    <row r="164" spans="1:19" x14ac:dyDescent="0.2">
      <c r="A164" t="s">
        <v>1833</v>
      </c>
      <c r="B164">
        <v>900</v>
      </c>
      <c r="C164" t="s">
        <v>26</v>
      </c>
      <c r="D164" t="s">
        <v>970</v>
      </c>
      <c r="E164" t="s">
        <v>1834</v>
      </c>
      <c r="F164" t="s">
        <v>1835</v>
      </c>
      <c r="G164" s="2" t="s">
        <v>1836</v>
      </c>
      <c r="H164" t="s">
        <v>18</v>
      </c>
      <c r="I164" t="s">
        <v>473</v>
      </c>
      <c r="J164" t="s">
        <v>474</v>
      </c>
      <c r="K164" t="s">
        <v>930</v>
      </c>
      <c r="L164" t="s">
        <v>930</v>
      </c>
      <c r="M164" t="s">
        <v>475</v>
      </c>
      <c r="N164" t="s">
        <v>47</v>
      </c>
      <c r="O164" t="s">
        <v>33</v>
      </c>
      <c r="P164" t="s">
        <v>34</v>
      </c>
      <c r="Q164">
        <v>1</v>
      </c>
      <c r="R164">
        <v>0</v>
      </c>
      <c r="S164" s="2" t="str">
        <f>IFERROR(VLOOKUP(C164,Sheet2!B:E,4,0),C164)</f>
        <v>一般产品</v>
      </c>
    </row>
    <row r="165" spans="1:19" x14ac:dyDescent="0.2">
      <c r="A165" t="s">
        <v>1837</v>
      </c>
      <c r="B165">
        <v>3999</v>
      </c>
      <c r="C165" t="s">
        <v>26</v>
      </c>
      <c r="D165" t="s">
        <v>50</v>
      </c>
      <c r="E165" t="s">
        <v>495</v>
      </c>
      <c r="F165" t="s">
        <v>831</v>
      </c>
      <c r="G165" s="2" t="s">
        <v>832</v>
      </c>
      <c r="H165" t="s">
        <v>18</v>
      </c>
      <c r="I165" t="s">
        <v>81</v>
      </c>
      <c r="J165" t="s">
        <v>1230</v>
      </c>
      <c r="K165" t="s">
        <v>930</v>
      </c>
      <c r="L165" t="s">
        <v>930</v>
      </c>
      <c r="M165" t="s">
        <v>1231</v>
      </c>
      <c r="N165" t="s">
        <v>68</v>
      </c>
      <c r="O165" t="s">
        <v>33</v>
      </c>
      <c r="P165" t="s">
        <v>34</v>
      </c>
      <c r="Q165">
        <v>1</v>
      </c>
      <c r="R165">
        <v>0</v>
      </c>
      <c r="S165" s="2" t="str">
        <f>IFERROR(VLOOKUP(C165,Sheet2!B:E,4,0),C165)</f>
        <v>一般产品</v>
      </c>
    </row>
    <row r="166" spans="1:19" x14ac:dyDescent="0.2">
      <c r="A166" t="s">
        <v>1838</v>
      </c>
      <c r="B166">
        <v>2698</v>
      </c>
      <c r="C166" t="s">
        <v>26</v>
      </c>
      <c r="D166" t="s">
        <v>970</v>
      </c>
      <c r="E166" t="s">
        <v>1839</v>
      </c>
      <c r="F166" t="s">
        <v>1725</v>
      </c>
      <c r="G166" s="2" t="s">
        <v>1726</v>
      </c>
      <c r="H166" t="s">
        <v>28</v>
      </c>
      <c r="I166" t="s">
        <v>930</v>
      </c>
      <c r="J166" t="s">
        <v>930</v>
      </c>
      <c r="K166" t="s">
        <v>930</v>
      </c>
      <c r="L166" t="s">
        <v>930</v>
      </c>
      <c r="M166" t="s">
        <v>45</v>
      </c>
      <c r="N166" t="s">
        <v>46</v>
      </c>
      <c r="O166" t="s">
        <v>39</v>
      </c>
      <c r="P166" t="s">
        <v>25</v>
      </c>
      <c r="Q166">
        <v>1</v>
      </c>
      <c r="R166">
        <v>0</v>
      </c>
      <c r="S166" s="2" t="str">
        <f>IFERROR(VLOOKUP(C166,Sheet2!B:E,4,0),C166)</f>
        <v>一般产品</v>
      </c>
    </row>
    <row r="167" spans="1:19" x14ac:dyDescent="0.2">
      <c r="A167" t="s">
        <v>1840</v>
      </c>
      <c r="B167">
        <v>2699</v>
      </c>
      <c r="C167" t="s">
        <v>589</v>
      </c>
      <c r="D167" t="s">
        <v>972</v>
      </c>
      <c r="E167" t="s">
        <v>1841</v>
      </c>
      <c r="F167" t="s">
        <v>1842</v>
      </c>
      <c r="G167" s="2" t="s">
        <v>1843</v>
      </c>
      <c r="H167" t="s">
        <v>28</v>
      </c>
      <c r="I167" t="s">
        <v>227</v>
      </c>
      <c r="J167" t="s">
        <v>228</v>
      </c>
      <c r="K167" t="s">
        <v>930</v>
      </c>
      <c r="L167" t="s">
        <v>930</v>
      </c>
      <c r="M167" t="s">
        <v>229</v>
      </c>
      <c r="N167" t="s">
        <v>194</v>
      </c>
      <c r="O167" t="s">
        <v>24</v>
      </c>
      <c r="P167" t="s">
        <v>25</v>
      </c>
      <c r="Q167">
        <v>1</v>
      </c>
      <c r="R167">
        <v>0</v>
      </c>
      <c r="S167" s="2" t="str">
        <f>IFERROR(VLOOKUP(C167,Sheet2!B:E,4,0),C167)</f>
        <v>优惠产品</v>
      </c>
    </row>
    <row r="168" spans="1:19" x14ac:dyDescent="0.2">
      <c r="A168" t="s">
        <v>1844</v>
      </c>
      <c r="B168">
        <v>1500</v>
      </c>
      <c r="C168" t="s">
        <v>26</v>
      </c>
      <c r="D168" t="s">
        <v>970</v>
      </c>
      <c r="E168" t="s">
        <v>1845</v>
      </c>
      <c r="F168" t="s">
        <v>1846</v>
      </c>
      <c r="G168" s="2" t="s">
        <v>1847</v>
      </c>
      <c r="H168" t="s">
        <v>18</v>
      </c>
      <c r="I168" t="s">
        <v>930</v>
      </c>
      <c r="J168" t="s">
        <v>930</v>
      </c>
      <c r="K168" t="s">
        <v>235</v>
      </c>
      <c r="L168" t="s">
        <v>930</v>
      </c>
      <c r="M168" t="s">
        <v>236</v>
      </c>
      <c r="N168" t="s">
        <v>55</v>
      </c>
      <c r="O168" t="s">
        <v>33</v>
      </c>
      <c r="P168" t="s">
        <v>34</v>
      </c>
      <c r="Q168">
        <v>1</v>
      </c>
      <c r="R168">
        <v>0</v>
      </c>
      <c r="S168" s="2" t="str">
        <f>IFERROR(VLOOKUP(C168,Sheet2!B:E,4,0),C168)</f>
        <v>一般产品</v>
      </c>
    </row>
    <row r="169" spans="1:19" x14ac:dyDescent="0.2">
      <c r="A169" t="s">
        <v>1848</v>
      </c>
      <c r="B169">
        <v>1198</v>
      </c>
      <c r="C169" t="s">
        <v>26</v>
      </c>
      <c r="D169" t="s">
        <v>970</v>
      </c>
      <c r="E169" t="s">
        <v>792</v>
      </c>
      <c r="F169" t="s">
        <v>1433</v>
      </c>
      <c r="G169" s="2" t="s">
        <v>1434</v>
      </c>
      <c r="H169" t="s">
        <v>18</v>
      </c>
      <c r="I169" t="s">
        <v>164</v>
      </c>
      <c r="J169" t="s">
        <v>165</v>
      </c>
      <c r="K169" t="s">
        <v>930</v>
      </c>
      <c r="L169" t="s">
        <v>930</v>
      </c>
      <c r="M169" t="s">
        <v>166</v>
      </c>
      <c r="N169" t="s">
        <v>55</v>
      </c>
      <c r="O169" t="s">
        <v>33</v>
      </c>
      <c r="P169" t="s">
        <v>34</v>
      </c>
      <c r="Q169">
        <v>1</v>
      </c>
      <c r="R169">
        <v>0</v>
      </c>
      <c r="S169" s="2" t="str">
        <f>IFERROR(VLOOKUP(C169,Sheet2!B:E,4,0),C169)</f>
        <v>一般产品</v>
      </c>
    </row>
    <row r="170" spans="1:19" x14ac:dyDescent="0.2">
      <c r="A170" t="s">
        <v>1849</v>
      </c>
      <c r="B170">
        <v>1999</v>
      </c>
      <c r="C170" t="s">
        <v>589</v>
      </c>
      <c r="D170" t="s">
        <v>970</v>
      </c>
      <c r="E170" t="s">
        <v>1451</v>
      </c>
      <c r="F170" t="s">
        <v>1452</v>
      </c>
      <c r="G170" s="2" t="s">
        <v>1453</v>
      </c>
      <c r="H170" t="s">
        <v>18</v>
      </c>
      <c r="I170" t="s">
        <v>156</v>
      </c>
      <c r="J170" t="s">
        <v>157</v>
      </c>
      <c r="K170" t="s">
        <v>930</v>
      </c>
      <c r="L170" t="s">
        <v>930</v>
      </c>
      <c r="M170" t="s">
        <v>158</v>
      </c>
      <c r="N170" t="s">
        <v>146</v>
      </c>
      <c r="O170" t="s">
        <v>33</v>
      </c>
      <c r="P170" t="s">
        <v>34</v>
      </c>
      <c r="Q170">
        <v>1</v>
      </c>
      <c r="R170">
        <v>0</v>
      </c>
      <c r="S170" s="2" t="str">
        <f>IFERROR(VLOOKUP(C170,Sheet2!B:E,4,0),C170)</f>
        <v>优惠产品</v>
      </c>
    </row>
    <row r="171" spans="1:19" x14ac:dyDescent="0.2">
      <c r="A171" t="s">
        <v>1850</v>
      </c>
      <c r="B171">
        <v>1498</v>
      </c>
      <c r="C171" t="s">
        <v>26</v>
      </c>
      <c r="D171" t="s">
        <v>970</v>
      </c>
      <c r="E171" t="s">
        <v>1353</v>
      </c>
      <c r="F171" t="s">
        <v>1851</v>
      </c>
      <c r="G171" s="2" t="s">
        <v>1852</v>
      </c>
      <c r="H171" t="s">
        <v>18</v>
      </c>
      <c r="I171" t="s">
        <v>490</v>
      </c>
      <c r="J171" t="s">
        <v>491</v>
      </c>
      <c r="K171" t="s">
        <v>930</v>
      </c>
      <c r="L171" t="s">
        <v>930</v>
      </c>
      <c r="M171" t="s">
        <v>492</v>
      </c>
      <c r="N171" t="s">
        <v>146</v>
      </c>
      <c r="O171" t="s">
        <v>33</v>
      </c>
      <c r="P171" t="s">
        <v>34</v>
      </c>
      <c r="Q171">
        <v>1</v>
      </c>
      <c r="R171">
        <v>0</v>
      </c>
      <c r="S171" s="2" t="str">
        <f>IFERROR(VLOOKUP(C171,Sheet2!B:E,4,0),C171)</f>
        <v>一般产品</v>
      </c>
    </row>
    <row r="172" spans="1:19" x14ac:dyDescent="0.2">
      <c r="A172" t="s">
        <v>1853</v>
      </c>
      <c r="B172">
        <v>1699</v>
      </c>
      <c r="C172" t="s">
        <v>589</v>
      </c>
      <c r="D172" t="s">
        <v>972</v>
      </c>
      <c r="E172" t="s">
        <v>1854</v>
      </c>
      <c r="F172" t="s">
        <v>1262</v>
      </c>
      <c r="G172" s="2" t="s">
        <v>1263</v>
      </c>
      <c r="H172" t="s">
        <v>18</v>
      </c>
      <c r="I172" t="s">
        <v>930</v>
      </c>
      <c r="J172" t="s">
        <v>930</v>
      </c>
      <c r="K172" t="s">
        <v>930</v>
      </c>
      <c r="L172" t="s">
        <v>930</v>
      </c>
      <c r="M172" t="s">
        <v>59</v>
      </c>
      <c r="N172" t="s">
        <v>194</v>
      </c>
      <c r="O172" t="s">
        <v>24</v>
      </c>
      <c r="P172" t="s">
        <v>25</v>
      </c>
      <c r="Q172">
        <v>1</v>
      </c>
      <c r="R172">
        <v>0</v>
      </c>
      <c r="S172" s="2" t="str">
        <f>IFERROR(VLOOKUP(C172,Sheet2!B:E,4,0),C172)</f>
        <v>优惠产品</v>
      </c>
    </row>
    <row r="173" spans="1:19" x14ac:dyDescent="0.2">
      <c r="A173" t="s">
        <v>1855</v>
      </c>
      <c r="B173">
        <v>1399</v>
      </c>
      <c r="C173" t="s">
        <v>589</v>
      </c>
      <c r="D173" t="s">
        <v>972</v>
      </c>
      <c r="E173" t="s">
        <v>1856</v>
      </c>
      <c r="F173" t="s">
        <v>1497</v>
      </c>
      <c r="G173" s="2" t="s">
        <v>1498</v>
      </c>
      <c r="H173" t="s">
        <v>18</v>
      </c>
      <c r="I173" t="s">
        <v>445</v>
      </c>
      <c r="J173" t="s">
        <v>446</v>
      </c>
      <c r="K173" t="s">
        <v>930</v>
      </c>
      <c r="L173" t="s">
        <v>930</v>
      </c>
      <c r="M173" t="s">
        <v>447</v>
      </c>
      <c r="N173" t="s">
        <v>44</v>
      </c>
      <c r="O173" t="s">
        <v>24</v>
      </c>
      <c r="P173" t="s">
        <v>25</v>
      </c>
      <c r="Q173">
        <v>1</v>
      </c>
      <c r="R173">
        <v>0</v>
      </c>
      <c r="S173" s="2" t="str">
        <f>IFERROR(VLOOKUP(C173,Sheet2!B:E,4,0),C173)</f>
        <v>优惠产品</v>
      </c>
    </row>
    <row r="174" spans="1:19" x14ac:dyDescent="0.2">
      <c r="A174" t="s">
        <v>1857</v>
      </c>
      <c r="B174">
        <v>2410</v>
      </c>
      <c r="C174" t="s">
        <v>26</v>
      </c>
      <c r="D174" t="s">
        <v>50</v>
      </c>
      <c r="E174" t="s">
        <v>1337</v>
      </c>
      <c r="F174" t="s">
        <v>1338</v>
      </c>
      <c r="G174" s="2" t="s">
        <v>1339</v>
      </c>
      <c r="H174" t="s">
        <v>18</v>
      </c>
      <c r="I174" t="s">
        <v>930</v>
      </c>
      <c r="J174" t="s">
        <v>930</v>
      </c>
      <c r="K174" t="s">
        <v>235</v>
      </c>
      <c r="L174" t="s">
        <v>930</v>
      </c>
      <c r="M174" t="s">
        <v>236</v>
      </c>
      <c r="N174" t="s">
        <v>55</v>
      </c>
      <c r="O174" t="s">
        <v>33</v>
      </c>
      <c r="P174" t="s">
        <v>34</v>
      </c>
      <c r="Q174">
        <v>1</v>
      </c>
      <c r="R174">
        <v>0</v>
      </c>
      <c r="S174" s="2" t="str">
        <f>IFERROR(VLOOKUP(C174,Sheet2!B:E,4,0),C174)</f>
        <v>一般产品</v>
      </c>
    </row>
    <row r="175" spans="1:19" x14ac:dyDescent="0.2">
      <c r="A175" t="s">
        <v>1858</v>
      </c>
      <c r="B175">
        <v>2299</v>
      </c>
      <c r="C175" t="s">
        <v>26</v>
      </c>
      <c r="D175" t="s">
        <v>970</v>
      </c>
      <c r="E175" t="s">
        <v>1859</v>
      </c>
      <c r="F175" t="s">
        <v>349</v>
      </c>
      <c r="G175" s="2" t="s">
        <v>350</v>
      </c>
      <c r="H175" t="s">
        <v>18</v>
      </c>
      <c r="I175" t="s">
        <v>351</v>
      </c>
      <c r="J175" t="s">
        <v>352</v>
      </c>
      <c r="K175" t="s">
        <v>930</v>
      </c>
      <c r="L175" t="s">
        <v>930</v>
      </c>
      <c r="M175" t="s">
        <v>353</v>
      </c>
      <c r="N175" t="s">
        <v>146</v>
      </c>
      <c r="O175" t="s">
        <v>33</v>
      </c>
      <c r="P175" t="s">
        <v>34</v>
      </c>
      <c r="Q175">
        <v>1</v>
      </c>
      <c r="R175">
        <v>0</v>
      </c>
      <c r="S175" s="2" t="str">
        <f>IFERROR(VLOOKUP(C175,Sheet2!B:E,4,0),C175)</f>
        <v>一般产品</v>
      </c>
    </row>
    <row r="176" spans="1:19" x14ac:dyDescent="0.2">
      <c r="A176" t="s">
        <v>1860</v>
      </c>
      <c r="B176">
        <v>2099</v>
      </c>
      <c r="C176" t="s">
        <v>589</v>
      </c>
      <c r="D176" t="s">
        <v>972</v>
      </c>
      <c r="E176" t="s">
        <v>723</v>
      </c>
      <c r="F176" t="s">
        <v>724</v>
      </c>
      <c r="G176" s="2" t="s">
        <v>725</v>
      </c>
      <c r="H176" t="s">
        <v>18</v>
      </c>
      <c r="I176" t="s">
        <v>524</v>
      </c>
      <c r="J176" t="s">
        <v>525</v>
      </c>
      <c r="K176" t="s">
        <v>930</v>
      </c>
      <c r="L176" t="s">
        <v>930</v>
      </c>
      <c r="M176" t="s">
        <v>526</v>
      </c>
      <c r="N176" t="s">
        <v>194</v>
      </c>
      <c r="O176" t="s">
        <v>24</v>
      </c>
      <c r="P176" t="s">
        <v>25</v>
      </c>
      <c r="Q176">
        <v>1</v>
      </c>
      <c r="R176">
        <v>0</v>
      </c>
      <c r="S176" s="2" t="str">
        <f>IFERROR(VLOOKUP(C176,Sheet2!B:E,4,0),C176)</f>
        <v>优惠产品</v>
      </c>
    </row>
    <row r="177" spans="1:19" x14ac:dyDescent="0.2">
      <c r="A177" t="s">
        <v>1861</v>
      </c>
      <c r="B177">
        <v>2000</v>
      </c>
      <c r="C177" t="s">
        <v>589</v>
      </c>
      <c r="D177" t="s">
        <v>970</v>
      </c>
      <c r="E177" t="s">
        <v>1394</v>
      </c>
      <c r="F177" t="s">
        <v>1354</v>
      </c>
      <c r="G177" s="2" t="s">
        <v>1355</v>
      </c>
      <c r="H177" t="s">
        <v>18</v>
      </c>
      <c r="I177" t="s">
        <v>490</v>
      </c>
      <c r="J177" t="s">
        <v>491</v>
      </c>
      <c r="K177" t="s">
        <v>930</v>
      </c>
      <c r="L177" t="s">
        <v>930</v>
      </c>
      <c r="M177" t="s">
        <v>492</v>
      </c>
      <c r="N177" t="s">
        <v>146</v>
      </c>
      <c r="O177" t="s">
        <v>33</v>
      </c>
      <c r="P177" t="s">
        <v>34</v>
      </c>
      <c r="Q177">
        <v>1</v>
      </c>
      <c r="R177">
        <v>0</v>
      </c>
      <c r="S177" s="2" t="str">
        <f>IFERROR(VLOOKUP(C177,Sheet2!B:E,4,0),C177)</f>
        <v>优惠产品</v>
      </c>
    </row>
    <row r="178" spans="1:19" x14ac:dyDescent="0.2">
      <c r="A178" t="s">
        <v>1862</v>
      </c>
      <c r="B178">
        <v>4000</v>
      </c>
      <c r="C178" t="s">
        <v>26</v>
      </c>
      <c r="D178" t="s">
        <v>50</v>
      </c>
      <c r="E178" t="s">
        <v>1362</v>
      </c>
      <c r="F178" t="s">
        <v>776</v>
      </c>
      <c r="G178" s="2" t="s">
        <v>777</v>
      </c>
      <c r="H178" t="s">
        <v>18</v>
      </c>
      <c r="I178" t="s">
        <v>159</v>
      </c>
      <c r="J178" t="s">
        <v>160</v>
      </c>
      <c r="K178" t="s">
        <v>930</v>
      </c>
      <c r="L178" t="s">
        <v>930</v>
      </c>
      <c r="M178" t="s">
        <v>161</v>
      </c>
      <c r="N178" t="s">
        <v>55</v>
      </c>
      <c r="O178" t="s">
        <v>33</v>
      </c>
      <c r="P178" t="s">
        <v>34</v>
      </c>
      <c r="Q178">
        <v>1</v>
      </c>
      <c r="R178">
        <v>0</v>
      </c>
      <c r="S178" s="2" t="str">
        <f>IFERROR(VLOOKUP(C178,Sheet2!B:E,4,0),C178)</f>
        <v>一般产品</v>
      </c>
    </row>
    <row r="179" spans="1:19" x14ac:dyDescent="0.2">
      <c r="A179" t="s">
        <v>1863</v>
      </c>
      <c r="B179">
        <v>3000</v>
      </c>
      <c r="C179" t="s">
        <v>26</v>
      </c>
      <c r="D179" t="s">
        <v>50</v>
      </c>
      <c r="E179" t="s">
        <v>1127</v>
      </c>
      <c r="F179" t="s">
        <v>1051</v>
      </c>
      <c r="G179" s="2" t="s">
        <v>1052</v>
      </c>
      <c r="H179" t="s">
        <v>18</v>
      </c>
      <c r="I179" t="s">
        <v>107</v>
      </c>
      <c r="J179" t="s">
        <v>1046</v>
      </c>
      <c r="K179" t="s">
        <v>930</v>
      </c>
      <c r="L179" t="s">
        <v>930</v>
      </c>
      <c r="M179" t="s">
        <v>1047</v>
      </c>
      <c r="N179" t="s">
        <v>108</v>
      </c>
      <c r="O179" t="s">
        <v>33</v>
      </c>
      <c r="P179" t="s">
        <v>34</v>
      </c>
      <c r="Q179">
        <v>1</v>
      </c>
      <c r="R179">
        <v>0</v>
      </c>
      <c r="S179" s="2" t="str">
        <f>IFERROR(VLOOKUP(C179,Sheet2!B:E,4,0),C179)</f>
        <v>一般产品</v>
      </c>
    </row>
    <row r="180" spans="1:19" x14ac:dyDescent="0.2">
      <c r="A180" t="s">
        <v>1864</v>
      </c>
      <c r="B180">
        <v>3499</v>
      </c>
      <c r="C180" t="s">
        <v>26</v>
      </c>
      <c r="D180" t="s">
        <v>50</v>
      </c>
      <c r="E180" t="s">
        <v>1264</v>
      </c>
      <c r="F180" t="s">
        <v>391</v>
      </c>
      <c r="G180" s="2" t="s">
        <v>392</v>
      </c>
      <c r="H180" t="s">
        <v>18</v>
      </c>
      <c r="I180" t="s">
        <v>934</v>
      </c>
      <c r="J180" t="s">
        <v>935</v>
      </c>
      <c r="K180" t="s">
        <v>930</v>
      </c>
      <c r="L180" t="s">
        <v>930</v>
      </c>
      <c r="M180" t="s">
        <v>936</v>
      </c>
      <c r="N180" t="s">
        <v>45</v>
      </c>
      <c r="O180" t="s">
        <v>48</v>
      </c>
      <c r="P180" t="s">
        <v>49</v>
      </c>
      <c r="Q180">
        <v>1</v>
      </c>
      <c r="R180">
        <v>0</v>
      </c>
      <c r="S180" s="2" t="str">
        <f>IFERROR(VLOOKUP(C180,Sheet2!B:E,4,0),C180)</f>
        <v>一般产品</v>
      </c>
    </row>
    <row r="181" spans="1:19" x14ac:dyDescent="0.2">
      <c r="A181" t="s">
        <v>1865</v>
      </c>
      <c r="B181">
        <v>3799</v>
      </c>
      <c r="C181" t="s">
        <v>26</v>
      </c>
      <c r="D181" t="s">
        <v>972</v>
      </c>
      <c r="E181" t="s">
        <v>1866</v>
      </c>
      <c r="F181" t="s">
        <v>1867</v>
      </c>
      <c r="G181" s="2" t="s">
        <v>1868</v>
      </c>
      <c r="H181" t="s">
        <v>28</v>
      </c>
      <c r="I181" t="s">
        <v>437</v>
      </c>
      <c r="J181" t="s">
        <v>438</v>
      </c>
      <c r="K181" t="s">
        <v>930</v>
      </c>
      <c r="L181" t="s">
        <v>930</v>
      </c>
      <c r="M181" t="s">
        <v>439</v>
      </c>
      <c r="N181" t="s">
        <v>194</v>
      </c>
      <c r="O181" t="s">
        <v>24</v>
      </c>
      <c r="P181" t="s">
        <v>25</v>
      </c>
      <c r="Q181">
        <v>1</v>
      </c>
      <c r="R181">
        <v>0</v>
      </c>
      <c r="S181" s="2" t="str">
        <f>IFERROR(VLOOKUP(C181,Sheet2!B:E,4,0),C181)</f>
        <v>一般产品</v>
      </c>
    </row>
    <row r="182" spans="1:19" x14ac:dyDescent="0.2">
      <c r="A182" t="s">
        <v>1869</v>
      </c>
      <c r="B182">
        <v>2801</v>
      </c>
      <c r="C182" t="s">
        <v>26</v>
      </c>
      <c r="D182" t="s">
        <v>50</v>
      </c>
      <c r="E182" t="s">
        <v>773</v>
      </c>
      <c r="F182" t="s">
        <v>1306</v>
      </c>
      <c r="G182" s="2" t="s">
        <v>1307</v>
      </c>
      <c r="H182" t="s">
        <v>18</v>
      </c>
      <c r="I182" t="s">
        <v>121</v>
      </c>
      <c r="J182" t="s">
        <v>122</v>
      </c>
      <c r="K182" t="s">
        <v>930</v>
      </c>
      <c r="L182" t="s">
        <v>930</v>
      </c>
      <c r="M182" t="s">
        <v>123</v>
      </c>
      <c r="N182" t="s">
        <v>55</v>
      </c>
      <c r="O182" t="s">
        <v>33</v>
      </c>
      <c r="P182" t="s">
        <v>34</v>
      </c>
      <c r="Q182">
        <v>1</v>
      </c>
      <c r="R182">
        <v>0</v>
      </c>
      <c r="S182" s="2" t="str">
        <f>IFERROR(VLOOKUP(C182,Sheet2!B:E,4,0),C182)</f>
        <v>一般产品</v>
      </c>
    </row>
    <row r="183" spans="1:19" x14ac:dyDescent="0.2">
      <c r="A183" t="s">
        <v>1870</v>
      </c>
      <c r="B183">
        <v>2999</v>
      </c>
      <c r="C183" t="s">
        <v>589</v>
      </c>
      <c r="D183" t="s">
        <v>972</v>
      </c>
      <c r="E183" t="s">
        <v>1871</v>
      </c>
      <c r="F183" t="s">
        <v>662</v>
      </c>
      <c r="G183" s="2" t="s">
        <v>663</v>
      </c>
      <c r="H183" t="s">
        <v>18</v>
      </c>
      <c r="I183" t="s">
        <v>524</v>
      </c>
      <c r="J183" t="s">
        <v>525</v>
      </c>
      <c r="K183" t="s">
        <v>930</v>
      </c>
      <c r="L183" t="s">
        <v>930</v>
      </c>
      <c r="M183" t="s">
        <v>526</v>
      </c>
      <c r="N183" t="s">
        <v>194</v>
      </c>
      <c r="O183" t="s">
        <v>24</v>
      </c>
      <c r="P183" t="s">
        <v>25</v>
      </c>
      <c r="Q183">
        <v>1</v>
      </c>
      <c r="R183">
        <v>0</v>
      </c>
      <c r="S183" s="2" t="str">
        <f>IFERROR(VLOOKUP(C183,Sheet2!B:E,4,0),C183)</f>
        <v>优惠产品</v>
      </c>
    </row>
    <row r="184" spans="1:19" x14ac:dyDescent="0.2">
      <c r="A184" t="s">
        <v>1872</v>
      </c>
      <c r="B184">
        <v>2699</v>
      </c>
      <c r="C184" t="s">
        <v>589</v>
      </c>
      <c r="D184" t="s">
        <v>972</v>
      </c>
      <c r="E184" t="s">
        <v>1873</v>
      </c>
      <c r="F184" t="s">
        <v>1874</v>
      </c>
      <c r="G184" s="2" t="s">
        <v>1875</v>
      </c>
      <c r="H184" t="s">
        <v>18</v>
      </c>
      <c r="I184" t="s">
        <v>930</v>
      </c>
      <c r="J184" t="s">
        <v>930</v>
      </c>
      <c r="K184" t="s">
        <v>930</v>
      </c>
      <c r="L184" t="s">
        <v>930</v>
      </c>
      <c r="M184" t="s">
        <v>59</v>
      </c>
      <c r="N184" t="s">
        <v>194</v>
      </c>
      <c r="O184" t="s">
        <v>24</v>
      </c>
      <c r="P184" t="s">
        <v>25</v>
      </c>
      <c r="Q184">
        <v>1</v>
      </c>
      <c r="R184">
        <v>0</v>
      </c>
      <c r="S184" s="2" t="str">
        <f>IFERROR(VLOOKUP(C184,Sheet2!B:E,4,0),C184)</f>
        <v>优惠产品</v>
      </c>
    </row>
    <row r="185" spans="1:19" x14ac:dyDescent="0.2">
      <c r="A185" t="s">
        <v>1876</v>
      </c>
      <c r="B185">
        <v>3180</v>
      </c>
      <c r="C185" t="s">
        <v>575</v>
      </c>
      <c r="D185" t="s">
        <v>970</v>
      </c>
      <c r="E185" t="s">
        <v>1877</v>
      </c>
      <c r="F185" t="s">
        <v>1008</v>
      </c>
      <c r="G185" s="2" t="s">
        <v>1009</v>
      </c>
      <c r="H185" t="s">
        <v>18</v>
      </c>
      <c r="I185" t="s">
        <v>139</v>
      </c>
      <c r="J185" t="s">
        <v>140</v>
      </c>
      <c r="K185" t="s">
        <v>930</v>
      </c>
      <c r="L185" t="s">
        <v>930</v>
      </c>
      <c r="M185" t="s">
        <v>141</v>
      </c>
      <c r="N185" t="s">
        <v>136</v>
      </c>
      <c r="O185" t="s">
        <v>95</v>
      </c>
      <c r="P185" t="s">
        <v>90</v>
      </c>
      <c r="Q185">
        <v>1</v>
      </c>
      <c r="R185">
        <v>0</v>
      </c>
      <c r="S185" s="2" t="str">
        <f>IFERROR(VLOOKUP(C185,Sheet2!B:E,4,0),C185)</f>
        <v>优惠产品</v>
      </c>
    </row>
    <row r="186" spans="1:19" x14ac:dyDescent="0.2">
      <c r="A186" t="s">
        <v>1878</v>
      </c>
      <c r="B186">
        <v>2990</v>
      </c>
      <c r="C186" t="s">
        <v>26</v>
      </c>
      <c r="D186" t="s">
        <v>971</v>
      </c>
      <c r="E186" t="s">
        <v>1879</v>
      </c>
      <c r="F186" t="s">
        <v>1440</v>
      </c>
      <c r="G186" s="2" t="s">
        <v>1441</v>
      </c>
      <c r="H186" t="s">
        <v>18</v>
      </c>
      <c r="I186" t="s">
        <v>191</v>
      </c>
      <c r="J186" t="s">
        <v>192</v>
      </c>
      <c r="K186" t="s">
        <v>930</v>
      </c>
      <c r="L186" t="s">
        <v>930</v>
      </c>
      <c r="M186" t="s">
        <v>193</v>
      </c>
      <c r="N186" t="s">
        <v>194</v>
      </c>
      <c r="O186" t="s">
        <v>24</v>
      </c>
      <c r="P186" t="s">
        <v>25</v>
      </c>
      <c r="Q186">
        <v>1</v>
      </c>
      <c r="R186">
        <v>0</v>
      </c>
      <c r="S186" s="2" t="str">
        <f>IFERROR(VLOOKUP(C186,Sheet2!B:E,4,0),C186)</f>
        <v>一般产品</v>
      </c>
    </row>
    <row r="187" spans="1:19" x14ac:dyDescent="0.2">
      <c r="A187" t="s">
        <v>1880</v>
      </c>
      <c r="B187">
        <v>2299</v>
      </c>
      <c r="C187" t="s">
        <v>589</v>
      </c>
      <c r="D187" t="s">
        <v>972</v>
      </c>
      <c r="E187" t="s">
        <v>276</v>
      </c>
      <c r="F187" t="s">
        <v>685</v>
      </c>
      <c r="G187" s="2" t="s">
        <v>686</v>
      </c>
      <c r="H187" t="s">
        <v>18</v>
      </c>
      <c r="I187" t="s">
        <v>277</v>
      </c>
      <c r="J187" t="s">
        <v>278</v>
      </c>
      <c r="K187" t="s">
        <v>930</v>
      </c>
      <c r="L187" t="s">
        <v>930</v>
      </c>
      <c r="M187" t="s">
        <v>279</v>
      </c>
      <c r="N187" t="s">
        <v>44</v>
      </c>
      <c r="O187" t="s">
        <v>24</v>
      </c>
      <c r="P187" t="s">
        <v>25</v>
      </c>
      <c r="Q187">
        <v>1</v>
      </c>
      <c r="R187">
        <v>0</v>
      </c>
      <c r="S187" s="2" t="str">
        <f>IFERROR(VLOOKUP(C187,Sheet2!B:E,4,0),C187)</f>
        <v>优惠产品</v>
      </c>
    </row>
    <row r="188" spans="1:19" x14ac:dyDescent="0.2">
      <c r="A188" t="s">
        <v>1881</v>
      </c>
      <c r="B188">
        <v>2999</v>
      </c>
      <c r="C188" t="s">
        <v>589</v>
      </c>
      <c r="D188" t="s">
        <v>726</v>
      </c>
      <c r="E188" t="s">
        <v>803</v>
      </c>
      <c r="F188" t="s">
        <v>1154</v>
      </c>
      <c r="G188" s="2" t="s">
        <v>1155</v>
      </c>
      <c r="H188" t="s">
        <v>18</v>
      </c>
      <c r="I188" t="s">
        <v>242</v>
      </c>
      <c r="J188" t="s">
        <v>243</v>
      </c>
      <c r="K188" t="s">
        <v>930</v>
      </c>
      <c r="L188" t="s">
        <v>930</v>
      </c>
      <c r="M188" t="s">
        <v>244</v>
      </c>
      <c r="N188" t="s">
        <v>46</v>
      </c>
      <c r="O188" t="s">
        <v>63</v>
      </c>
      <c r="P188" t="s">
        <v>34</v>
      </c>
      <c r="Q188">
        <v>1</v>
      </c>
      <c r="R188">
        <v>0</v>
      </c>
      <c r="S188" s="2" t="str">
        <f>IFERROR(VLOOKUP(C188,Sheet2!B:E,4,0),C188)</f>
        <v>优惠产品</v>
      </c>
    </row>
    <row r="189" spans="1:19" x14ac:dyDescent="0.2">
      <c r="A189" t="s">
        <v>1882</v>
      </c>
      <c r="B189">
        <v>2998</v>
      </c>
      <c r="C189" t="s">
        <v>26</v>
      </c>
      <c r="D189" t="s">
        <v>970</v>
      </c>
      <c r="E189" t="s">
        <v>1332</v>
      </c>
      <c r="F189" t="s">
        <v>1319</v>
      </c>
      <c r="G189" s="2" t="s">
        <v>1320</v>
      </c>
      <c r="H189" t="s">
        <v>18</v>
      </c>
      <c r="I189" t="s">
        <v>930</v>
      </c>
      <c r="J189" t="s">
        <v>930</v>
      </c>
      <c r="K189" t="s">
        <v>930</v>
      </c>
      <c r="L189" t="s">
        <v>930</v>
      </c>
      <c r="M189" t="s">
        <v>60</v>
      </c>
      <c r="N189" t="s">
        <v>61</v>
      </c>
      <c r="O189" t="s">
        <v>39</v>
      </c>
      <c r="P189" t="s">
        <v>25</v>
      </c>
      <c r="Q189">
        <v>1</v>
      </c>
      <c r="R189">
        <v>0</v>
      </c>
      <c r="S189" s="2" t="str">
        <f>IFERROR(VLOOKUP(C189,Sheet2!B:E,4,0),C189)</f>
        <v>一般产品</v>
      </c>
    </row>
    <row r="190" spans="1:19" x14ac:dyDescent="0.2">
      <c r="A190" t="s">
        <v>1883</v>
      </c>
      <c r="B190">
        <v>3499</v>
      </c>
      <c r="C190" t="s">
        <v>26</v>
      </c>
      <c r="D190" t="s">
        <v>971</v>
      </c>
      <c r="E190" t="s">
        <v>721</v>
      </c>
      <c r="F190" t="s">
        <v>965</v>
      </c>
      <c r="G190" s="2" t="s">
        <v>966</v>
      </c>
      <c r="H190" t="s">
        <v>18</v>
      </c>
      <c r="I190" t="s">
        <v>934</v>
      </c>
      <c r="J190" t="s">
        <v>935</v>
      </c>
      <c r="K190" t="s">
        <v>930</v>
      </c>
      <c r="L190" t="s">
        <v>930</v>
      </c>
      <c r="M190" t="s">
        <v>936</v>
      </c>
      <c r="N190" t="s">
        <v>45</v>
      </c>
      <c r="O190" t="s">
        <v>48</v>
      </c>
      <c r="P190" t="s">
        <v>49</v>
      </c>
      <c r="Q190">
        <v>1</v>
      </c>
      <c r="R190">
        <v>0</v>
      </c>
      <c r="S190" s="2" t="str">
        <f>IFERROR(VLOOKUP(C190,Sheet2!B:E,4,0),C190)</f>
        <v>一般产品</v>
      </c>
    </row>
    <row r="191" spans="1:19" x14ac:dyDescent="0.2">
      <c r="A191" t="s">
        <v>1884</v>
      </c>
      <c r="B191">
        <v>3600</v>
      </c>
      <c r="C191" t="s">
        <v>575</v>
      </c>
      <c r="D191" t="s">
        <v>970</v>
      </c>
      <c r="E191" t="s">
        <v>1885</v>
      </c>
      <c r="F191" t="s">
        <v>1399</v>
      </c>
      <c r="G191" s="2" t="s">
        <v>1400</v>
      </c>
      <c r="H191" t="s">
        <v>28</v>
      </c>
      <c r="I191" t="s">
        <v>139</v>
      </c>
      <c r="J191" t="s">
        <v>140</v>
      </c>
      <c r="K191" t="s">
        <v>930</v>
      </c>
      <c r="L191" t="s">
        <v>930</v>
      </c>
      <c r="M191" t="s">
        <v>141</v>
      </c>
      <c r="N191" t="s">
        <v>136</v>
      </c>
      <c r="O191" t="s">
        <v>95</v>
      </c>
      <c r="P191" t="s">
        <v>90</v>
      </c>
      <c r="Q191">
        <v>1</v>
      </c>
      <c r="R191">
        <v>0</v>
      </c>
      <c r="S191" s="2" t="str">
        <f>IFERROR(VLOOKUP(C191,Sheet2!B:E,4,0),C191)</f>
        <v>优惠产品</v>
      </c>
    </row>
    <row r="192" spans="1:19" x14ac:dyDescent="0.2">
      <c r="A192" t="s">
        <v>1886</v>
      </c>
      <c r="B192">
        <v>2409</v>
      </c>
      <c r="C192" t="s">
        <v>26</v>
      </c>
      <c r="D192" t="s">
        <v>970</v>
      </c>
      <c r="E192" t="s">
        <v>1887</v>
      </c>
      <c r="F192" t="s">
        <v>1436</v>
      </c>
      <c r="G192" s="2" t="s">
        <v>1437</v>
      </c>
      <c r="H192" t="s">
        <v>18</v>
      </c>
      <c r="I192" t="s">
        <v>81</v>
      </c>
      <c r="J192" t="s">
        <v>1230</v>
      </c>
      <c r="K192" t="s">
        <v>930</v>
      </c>
      <c r="L192" t="s">
        <v>930</v>
      </c>
      <c r="M192" t="s">
        <v>1231</v>
      </c>
      <c r="N192" t="s">
        <v>68</v>
      </c>
      <c r="O192" t="s">
        <v>33</v>
      </c>
      <c r="P192" t="s">
        <v>34</v>
      </c>
      <c r="Q192">
        <v>1</v>
      </c>
      <c r="R192">
        <v>0</v>
      </c>
      <c r="S192" s="2" t="str">
        <f>IFERROR(VLOOKUP(C192,Sheet2!B:E,4,0),C192)</f>
        <v>一般产品</v>
      </c>
    </row>
    <row r="193" spans="1:19" x14ac:dyDescent="0.2">
      <c r="A193" t="s">
        <v>1888</v>
      </c>
      <c r="B193">
        <v>4300</v>
      </c>
      <c r="C193" t="s">
        <v>26</v>
      </c>
      <c r="D193" t="s">
        <v>970</v>
      </c>
      <c r="E193" t="s">
        <v>1480</v>
      </c>
      <c r="F193" t="s">
        <v>532</v>
      </c>
      <c r="G193" s="2" t="s">
        <v>533</v>
      </c>
      <c r="H193" t="s">
        <v>28</v>
      </c>
      <c r="I193" t="s">
        <v>255</v>
      </c>
      <c r="J193" t="s">
        <v>256</v>
      </c>
      <c r="K193" t="s">
        <v>930</v>
      </c>
      <c r="L193" t="s">
        <v>930</v>
      </c>
      <c r="M193" t="s">
        <v>257</v>
      </c>
      <c r="N193" t="s">
        <v>47</v>
      </c>
      <c r="O193" t="s">
        <v>33</v>
      </c>
      <c r="P193" t="s">
        <v>34</v>
      </c>
      <c r="Q193">
        <v>1</v>
      </c>
      <c r="R193">
        <v>0</v>
      </c>
      <c r="S193" s="2" t="str">
        <f>IFERROR(VLOOKUP(C193,Sheet2!B:E,4,0),C193)</f>
        <v>一般产品</v>
      </c>
    </row>
    <row r="194" spans="1:19" x14ac:dyDescent="0.2">
      <c r="A194" t="s">
        <v>1889</v>
      </c>
      <c r="B194">
        <v>3500</v>
      </c>
      <c r="C194" t="s">
        <v>26</v>
      </c>
      <c r="D194" t="s">
        <v>972</v>
      </c>
      <c r="E194" t="s">
        <v>1469</v>
      </c>
      <c r="F194" t="s">
        <v>762</v>
      </c>
      <c r="G194" s="2" t="s">
        <v>763</v>
      </c>
      <c r="H194" t="s">
        <v>18</v>
      </c>
      <c r="I194" t="s">
        <v>421</v>
      </c>
      <c r="J194" t="s">
        <v>422</v>
      </c>
      <c r="K194" t="s">
        <v>930</v>
      </c>
      <c r="L194" t="s">
        <v>930</v>
      </c>
      <c r="M194" t="s">
        <v>423</v>
      </c>
      <c r="N194" t="s">
        <v>68</v>
      </c>
      <c r="O194" t="s">
        <v>33</v>
      </c>
      <c r="P194" t="s">
        <v>34</v>
      </c>
      <c r="Q194">
        <v>1</v>
      </c>
      <c r="R194">
        <v>0</v>
      </c>
      <c r="S194" s="2" t="str">
        <f>IFERROR(VLOOKUP(C194,Sheet2!B:E,4,0),C194)</f>
        <v>一般产品</v>
      </c>
    </row>
    <row r="195" spans="1:19" x14ac:dyDescent="0.2">
      <c r="A195" t="s">
        <v>1890</v>
      </c>
      <c r="B195">
        <v>2730</v>
      </c>
      <c r="C195" t="s">
        <v>575</v>
      </c>
      <c r="D195" t="s">
        <v>726</v>
      </c>
      <c r="E195" t="s">
        <v>1891</v>
      </c>
      <c r="F195" t="s">
        <v>1000</v>
      </c>
      <c r="G195" s="2" t="s">
        <v>57</v>
      </c>
      <c r="H195" t="s">
        <v>28</v>
      </c>
      <c r="I195" t="s">
        <v>450</v>
      </c>
      <c r="J195" t="s">
        <v>451</v>
      </c>
      <c r="K195" t="s">
        <v>930</v>
      </c>
      <c r="L195" t="s">
        <v>930</v>
      </c>
      <c r="M195" t="s">
        <v>939</v>
      </c>
      <c r="N195" t="s">
        <v>124</v>
      </c>
      <c r="O195" t="s">
        <v>117</v>
      </c>
      <c r="P195" t="s">
        <v>34</v>
      </c>
      <c r="Q195">
        <v>1</v>
      </c>
      <c r="R195">
        <v>0</v>
      </c>
      <c r="S195" s="2" t="str">
        <f>IFERROR(VLOOKUP(C195,Sheet2!B:E,4,0),C195)</f>
        <v>优惠产品</v>
      </c>
    </row>
    <row r="196" spans="1:19" x14ac:dyDescent="0.2">
      <c r="A196" t="s">
        <v>1892</v>
      </c>
      <c r="B196">
        <v>3499</v>
      </c>
      <c r="C196" t="s">
        <v>26</v>
      </c>
      <c r="D196" t="s">
        <v>50</v>
      </c>
      <c r="E196" t="s">
        <v>1893</v>
      </c>
      <c r="F196" t="s">
        <v>1894</v>
      </c>
      <c r="G196" s="2" t="s">
        <v>1895</v>
      </c>
      <c r="H196" t="s">
        <v>18</v>
      </c>
      <c r="I196" t="s">
        <v>107</v>
      </c>
      <c r="J196" t="s">
        <v>1046</v>
      </c>
      <c r="K196" t="s">
        <v>930</v>
      </c>
      <c r="L196" t="s">
        <v>930</v>
      </c>
      <c r="M196" t="s">
        <v>1047</v>
      </c>
      <c r="N196" t="s">
        <v>108</v>
      </c>
      <c r="O196" t="s">
        <v>33</v>
      </c>
      <c r="P196" t="s">
        <v>34</v>
      </c>
      <c r="Q196">
        <v>1</v>
      </c>
      <c r="R196">
        <v>0</v>
      </c>
      <c r="S196" s="2" t="str">
        <f>IFERROR(VLOOKUP(C196,Sheet2!B:E,4,0),C196)</f>
        <v>一般产品</v>
      </c>
    </row>
    <row r="197" spans="1:19" x14ac:dyDescent="0.2">
      <c r="A197" t="s">
        <v>1896</v>
      </c>
      <c r="B197">
        <v>2598</v>
      </c>
      <c r="C197" t="s">
        <v>26</v>
      </c>
      <c r="D197" t="s">
        <v>972</v>
      </c>
      <c r="E197" t="s">
        <v>1897</v>
      </c>
      <c r="F197" t="s">
        <v>764</v>
      </c>
      <c r="G197" s="2" t="s">
        <v>765</v>
      </c>
      <c r="H197" t="s">
        <v>18</v>
      </c>
      <c r="I197" t="s">
        <v>100</v>
      </c>
      <c r="J197" t="s">
        <v>101</v>
      </c>
      <c r="K197" t="s">
        <v>930</v>
      </c>
      <c r="L197" t="s">
        <v>930</v>
      </c>
      <c r="M197" t="s">
        <v>102</v>
      </c>
      <c r="N197" t="s">
        <v>59</v>
      </c>
      <c r="O197" t="s">
        <v>72</v>
      </c>
      <c r="P197" t="s">
        <v>34</v>
      </c>
      <c r="Q197">
        <v>1</v>
      </c>
      <c r="R197">
        <v>0</v>
      </c>
      <c r="S197" s="2" t="str">
        <f>IFERROR(VLOOKUP(C197,Sheet2!B:E,4,0),C197)</f>
        <v>一般产品</v>
      </c>
    </row>
    <row r="198" spans="1:19" x14ac:dyDescent="0.2">
      <c r="A198" t="s">
        <v>1898</v>
      </c>
      <c r="B198">
        <v>3399</v>
      </c>
      <c r="C198" t="s">
        <v>26</v>
      </c>
      <c r="D198" t="s">
        <v>970</v>
      </c>
      <c r="E198" t="s">
        <v>1899</v>
      </c>
      <c r="F198" t="s">
        <v>1900</v>
      </c>
      <c r="G198" s="2" t="s">
        <v>1901</v>
      </c>
      <c r="H198" t="s">
        <v>18</v>
      </c>
      <c r="I198" t="s">
        <v>179</v>
      </c>
      <c r="J198" t="s">
        <v>180</v>
      </c>
      <c r="K198" t="s">
        <v>930</v>
      </c>
      <c r="L198" t="s">
        <v>930</v>
      </c>
      <c r="M198" t="s">
        <v>181</v>
      </c>
      <c r="N198" t="s">
        <v>38</v>
      </c>
      <c r="O198" t="s">
        <v>39</v>
      </c>
      <c r="P198" t="s">
        <v>25</v>
      </c>
      <c r="Q198">
        <v>1</v>
      </c>
      <c r="R198">
        <v>0</v>
      </c>
      <c r="S198" s="2" t="str">
        <f>IFERROR(VLOOKUP(C198,Sheet2!B:E,4,0),C198)</f>
        <v>一般产品</v>
      </c>
    </row>
    <row r="199" spans="1:19" x14ac:dyDescent="0.2">
      <c r="A199" t="s">
        <v>1902</v>
      </c>
      <c r="B199">
        <v>1999</v>
      </c>
      <c r="C199" t="s">
        <v>575</v>
      </c>
      <c r="D199" t="s">
        <v>50</v>
      </c>
      <c r="E199" t="s">
        <v>1903</v>
      </c>
      <c r="F199" t="s">
        <v>1904</v>
      </c>
      <c r="G199" s="2" t="s">
        <v>1905</v>
      </c>
      <c r="H199" t="s">
        <v>18</v>
      </c>
      <c r="I199" t="s">
        <v>133</v>
      </c>
      <c r="J199" t="s">
        <v>134</v>
      </c>
      <c r="K199" t="s">
        <v>930</v>
      </c>
      <c r="L199" t="s">
        <v>930</v>
      </c>
      <c r="M199" t="s">
        <v>135</v>
      </c>
      <c r="N199" t="s">
        <v>73</v>
      </c>
      <c r="O199" t="s">
        <v>24</v>
      </c>
      <c r="P199" t="s">
        <v>25</v>
      </c>
      <c r="Q199">
        <v>1</v>
      </c>
      <c r="R199">
        <v>0</v>
      </c>
      <c r="S199" s="2" t="str">
        <f>IFERROR(VLOOKUP(C199,Sheet2!B:E,4,0),C199)</f>
        <v>优惠产品</v>
      </c>
    </row>
    <row r="200" spans="1:19" x14ac:dyDescent="0.2">
      <c r="A200" t="s">
        <v>1906</v>
      </c>
      <c r="B200">
        <v>1200</v>
      </c>
      <c r="C200" t="s">
        <v>26</v>
      </c>
      <c r="D200" t="s">
        <v>970</v>
      </c>
      <c r="E200" t="s">
        <v>1907</v>
      </c>
      <c r="F200" t="s">
        <v>635</v>
      </c>
      <c r="G200" s="2" t="s">
        <v>636</v>
      </c>
      <c r="H200" t="s">
        <v>18</v>
      </c>
      <c r="I200" t="s">
        <v>255</v>
      </c>
      <c r="J200" t="s">
        <v>256</v>
      </c>
      <c r="K200" t="s">
        <v>930</v>
      </c>
      <c r="L200" t="s">
        <v>930</v>
      </c>
      <c r="M200" t="s">
        <v>257</v>
      </c>
      <c r="N200" t="s">
        <v>47</v>
      </c>
      <c r="O200" t="s">
        <v>33</v>
      </c>
      <c r="P200" t="s">
        <v>34</v>
      </c>
      <c r="Q200">
        <v>1</v>
      </c>
      <c r="R200">
        <v>0</v>
      </c>
      <c r="S200" s="2" t="str">
        <f>IFERROR(VLOOKUP(C200,Sheet2!B:E,4,0),C200)</f>
        <v>一般产品</v>
      </c>
    </row>
    <row r="201" spans="1:19" x14ac:dyDescent="0.2">
      <c r="A201" t="s">
        <v>1908</v>
      </c>
      <c r="B201">
        <v>3200</v>
      </c>
      <c r="C201" t="s">
        <v>26</v>
      </c>
      <c r="D201" t="s">
        <v>970</v>
      </c>
      <c r="E201" t="s">
        <v>641</v>
      </c>
      <c r="F201" t="s">
        <v>622</v>
      </c>
      <c r="G201" s="2" t="s">
        <v>623</v>
      </c>
      <c r="H201" t="s">
        <v>28</v>
      </c>
      <c r="I201" t="s">
        <v>388</v>
      </c>
      <c r="J201" t="s">
        <v>389</v>
      </c>
      <c r="K201" t="s">
        <v>930</v>
      </c>
      <c r="L201" t="s">
        <v>930</v>
      </c>
      <c r="M201" t="s">
        <v>390</v>
      </c>
      <c r="N201" t="s">
        <v>51</v>
      </c>
      <c r="O201" t="s">
        <v>33</v>
      </c>
      <c r="P201" t="s">
        <v>34</v>
      </c>
      <c r="Q201">
        <v>1</v>
      </c>
      <c r="R201">
        <v>0</v>
      </c>
      <c r="S201" s="2" t="str">
        <f>IFERROR(VLOOKUP(C201,Sheet2!B:E,4,0),C201)</f>
        <v>一般产品</v>
      </c>
    </row>
    <row r="202" spans="1:19" x14ac:dyDescent="0.2">
      <c r="A202" t="s">
        <v>1909</v>
      </c>
      <c r="B202">
        <v>2800</v>
      </c>
      <c r="C202" t="s">
        <v>575</v>
      </c>
      <c r="D202" t="s">
        <v>50</v>
      </c>
      <c r="E202" t="s">
        <v>374</v>
      </c>
      <c r="F202" t="s">
        <v>683</v>
      </c>
      <c r="G202" s="2" t="s">
        <v>684</v>
      </c>
      <c r="H202" t="s">
        <v>18</v>
      </c>
      <c r="I202" t="s">
        <v>111</v>
      </c>
      <c r="J202" t="s">
        <v>112</v>
      </c>
      <c r="K202" t="s">
        <v>930</v>
      </c>
      <c r="L202" t="s">
        <v>930</v>
      </c>
      <c r="M202" t="s">
        <v>113</v>
      </c>
      <c r="N202" t="s">
        <v>114</v>
      </c>
      <c r="O202" t="s">
        <v>24</v>
      </c>
      <c r="P202" t="s">
        <v>25</v>
      </c>
      <c r="Q202">
        <v>1</v>
      </c>
      <c r="R202">
        <v>0</v>
      </c>
      <c r="S202" s="2" t="str">
        <f>IFERROR(VLOOKUP(C202,Sheet2!B:E,4,0),C202)</f>
        <v>优惠产品</v>
      </c>
    </row>
    <row r="203" spans="1:19" x14ac:dyDescent="0.2">
      <c r="A203" t="s">
        <v>1910</v>
      </c>
      <c r="B203">
        <v>3499</v>
      </c>
      <c r="C203" t="s">
        <v>589</v>
      </c>
      <c r="D203" t="s">
        <v>972</v>
      </c>
      <c r="E203" t="s">
        <v>276</v>
      </c>
      <c r="F203" t="s">
        <v>806</v>
      </c>
      <c r="G203" s="2" t="s">
        <v>807</v>
      </c>
      <c r="H203" t="s">
        <v>18</v>
      </c>
      <c r="I203" t="s">
        <v>277</v>
      </c>
      <c r="J203" t="s">
        <v>278</v>
      </c>
      <c r="K203" t="s">
        <v>930</v>
      </c>
      <c r="L203" t="s">
        <v>930</v>
      </c>
      <c r="M203" t="s">
        <v>279</v>
      </c>
      <c r="N203" t="s">
        <v>44</v>
      </c>
      <c r="O203" t="s">
        <v>24</v>
      </c>
      <c r="P203" t="s">
        <v>25</v>
      </c>
      <c r="Q203">
        <v>1</v>
      </c>
      <c r="R203">
        <v>0</v>
      </c>
      <c r="S203" s="2" t="str">
        <f>IFERROR(VLOOKUP(C203,Sheet2!B:E,4,0),C203)</f>
        <v>优惠产品</v>
      </c>
    </row>
    <row r="204" spans="1:19" x14ac:dyDescent="0.2">
      <c r="A204" t="s">
        <v>1911</v>
      </c>
      <c r="B204">
        <v>2998</v>
      </c>
      <c r="C204" t="s">
        <v>26</v>
      </c>
      <c r="D204" t="s">
        <v>970</v>
      </c>
      <c r="E204" t="s">
        <v>1332</v>
      </c>
      <c r="F204" t="s">
        <v>1319</v>
      </c>
      <c r="G204" s="2" t="s">
        <v>1320</v>
      </c>
      <c r="H204" t="s">
        <v>18</v>
      </c>
      <c r="I204" t="s">
        <v>930</v>
      </c>
      <c r="J204" t="s">
        <v>930</v>
      </c>
      <c r="K204" t="s">
        <v>930</v>
      </c>
      <c r="L204" t="s">
        <v>930</v>
      </c>
      <c r="M204" t="s">
        <v>60</v>
      </c>
      <c r="N204" t="s">
        <v>61</v>
      </c>
      <c r="O204" t="s">
        <v>39</v>
      </c>
      <c r="P204" t="s">
        <v>25</v>
      </c>
      <c r="Q204">
        <v>1</v>
      </c>
      <c r="R204">
        <v>0</v>
      </c>
      <c r="S204" s="2" t="str">
        <f>IFERROR(VLOOKUP(C204,Sheet2!B:E,4,0),C204)</f>
        <v>一般产品</v>
      </c>
    </row>
    <row r="205" spans="1:19" x14ac:dyDescent="0.2">
      <c r="A205" t="s">
        <v>1912</v>
      </c>
      <c r="B205">
        <v>2000</v>
      </c>
      <c r="C205" t="s">
        <v>26</v>
      </c>
      <c r="D205" t="s">
        <v>970</v>
      </c>
      <c r="E205" t="s">
        <v>1913</v>
      </c>
      <c r="F205" t="s">
        <v>1227</v>
      </c>
      <c r="G205" s="2" t="s">
        <v>1228</v>
      </c>
      <c r="H205" t="s">
        <v>18</v>
      </c>
      <c r="I205" t="s">
        <v>421</v>
      </c>
      <c r="J205" t="s">
        <v>422</v>
      </c>
      <c r="K205" t="s">
        <v>930</v>
      </c>
      <c r="L205" t="s">
        <v>930</v>
      </c>
      <c r="M205" t="s">
        <v>423</v>
      </c>
      <c r="N205" t="s">
        <v>68</v>
      </c>
      <c r="O205" t="s">
        <v>33</v>
      </c>
      <c r="P205" t="s">
        <v>34</v>
      </c>
      <c r="Q205">
        <v>1</v>
      </c>
      <c r="R205">
        <v>0</v>
      </c>
      <c r="S205" s="2" t="str">
        <f>IFERROR(VLOOKUP(C205,Sheet2!B:E,4,0),C205)</f>
        <v>一般产品</v>
      </c>
    </row>
    <row r="206" spans="1:19" x14ac:dyDescent="0.2">
      <c r="A206" t="s">
        <v>1914</v>
      </c>
      <c r="B206">
        <v>3109</v>
      </c>
      <c r="C206" t="s">
        <v>26</v>
      </c>
      <c r="D206" t="s">
        <v>970</v>
      </c>
      <c r="E206" t="s">
        <v>1915</v>
      </c>
      <c r="F206" t="s">
        <v>177</v>
      </c>
      <c r="G206" s="2" t="s">
        <v>178</v>
      </c>
      <c r="H206" t="s">
        <v>28</v>
      </c>
      <c r="I206" t="s">
        <v>81</v>
      </c>
      <c r="J206" t="s">
        <v>1230</v>
      </c>
      <c r="K206" t="s">
        <v>930</v>
      </c>
      <c r="L206" t="s">
        <v>930</v>
      </c>
      <c r="M206" t="s">
        <v>1231</v>
      </c>
      <c r="N206" t="s">
        <v>68</v>
      </c>
      <c r="O206" t="s">
        <v>33</v>
      </c>
      <c r="P206" t="s">
        <v>34</v>
      </c>
      <c r="Q206">
        <v>1</v>
      </c>
      <c r="R206">
        <v>0</v>
      </c>
      <c r="S206" s="2" t="str">
        <f>IFERROR(VLOOKUP(C206,Sheet2!B:E,4,0),C206)</f>
        <v>一般产品</v>
      </c>
    </row>
    <row r="207" spans="1:19" x14ac:dyDescent="0.2">
      <c r="A207" t="s">
        <v>1916</v>
      </c>
      <c r="B207">
        <v>3500</v>
      </c>
      <c r="C207" t="s">
        <v>575</v>
      </c>
      <c r="D207" t="s">
        <v>970</v>
      </c>
      <c r="E207" t="s">
        <v>1917</v>
      </c>
      <c r="F207" t="s">
        <v>1167</v>
      </c>
      <c r="G207" s="2" t="s">
        <v>1168</v>
      </c>
      <c r="H207" t="s">
        <v>18</v>
      </c>
      <c r="I207" t="s">
        <v>307</v>
      </c>
      <c r="J207" t="s">
        <v>308</v>
      </c>
      <c r="K207" t="s">
        <v>930</v>
      </c>
      <c r="L207" t="s">
        <v>930</v>
      </c>
      <c r="M207" t="s">
        <v>309</v>
      </c>
      <c r="N207" t="s">
        <v>94</v>
      </c>
      <c r="O207" t="s">
        <v>95</v>
      </c>
      <c r="P207" t="s">
        <v>90</v>
      </c>
      <c r="Q207">
        <v>1</v>
      </c>
      <c r="R207">
        <v>0</v>
      </c>
      <c r="S207" s="2" t="str">
        <f>IFERROR(VLOOKUP(C207,Sheet2!B:E,4,0),C207)</f>
        <v>优惠产品</v>
      </c>
    </row>
    <row r="208" spans="1:19" x14ac:dyDescent="0.2">
      <c r="A208" t="s">
        <v>1918</v>
      </c>
      <c r="B208">
        <v>4980</v>
      </c>
      <c r="C208" t="s">
        <v>575</v>
      </c>
      <c r="D208" t="s">
        <v>726</v>
      </c>
      <c r="E208" t="s">
        <v>1328</v>
      </c>
      <c r="F208" t="s">
        <v>1387</v>
      </c>
      <c r="G208" s="2" t="s">
        <v>1388</v>
      </c>
      <c r="H208" t="s">
        <v>18</v>
      </c>
      <c r="I208" t="s">
        <v>930</v>
      </c>
      <c r="J208" t="s">
        <v>930</v>
      </c>
      <c r="K208" t="s">
        <v>115</v>
      </c>
      <c r="L208" t="s">
        <v>930</v>
      </c>
      <c r="M208" t="s">
        <v>116</v>
      </c>
      <c r="N208" t="s">
        <v>45</v>
      </c>
      <c r="O208" t="s">
        <v>117</v>
      </c>
      <c r="P208" t="s">
        <v>34</v>
      </c>
      <c r="Q208">
        <v>1</v>
      </c>
      <c r="R208">
        <v>0</v>
      </c>
      <c r="S208" s="2" t="str">
        <f>IFERROR(VLOOKUP(C208,Sheet2!B:E,4,0),C208)</f>
        <v>优惠产品</v>
      </c>
    </row>
    <row r="209" spans="1:19" x14ac:dyDescent="0.2">
      <c r="A209" t="s">
        <v>1919</v>
      </c>
      <c r="B209">
        <v>2499</v>
      </c>
      <c r="C209" t="s">
        <v>575</v>
      </c>
      <c r="D209" t="s">
        <v>971</v>
      </c>
      <c r="E209" t="s">
        <v>1920</v>
      </c>
      <c r="F209" t="s">
        <v>656</v>
      </c>
      <c r="G209" s="2" t="s">
        <v>657</v>
      </c>
      <c r="H209" t="s">
        <v>18</v>
      </c>
      <c r="I209" t="s">
        <v>40</v>
      </c>
      <c r="J209" t="s">
        <v>41</v>
      </c>
      <c r="K209" t="s">
        <v>930</v>
      </c>
      <c r="L209" t="s">
        <v>930</v>
      </c>
      <c r="M209" t="s">
        <v>42</v>
      </c>
      <c r="N209" t="s">
        <v>43</v>
      </c>
      <c r="O209" t="s">
        <v>24</v>
      </c>
      <c r="P209" t="s">
        <v>25</v>
      </c>
      <c r="Q209">
        <v>1</v>
      </c>
      <c r="R209">
        <v>0</v>
      </c>
      <c r="S209" s="2" t="str">
        <f>IFERROR(VLOOKUP(C209,Sheet2!B:E,4,0),C209)</f>
        <v>优惠产品</v>
      </c>
    </row>
    <row r="210" spans="1:19" x14ac:dyDescent="0.2">
      <c r="A210" t="s">
        <v>1921</v>
      </c>
      <c r="B210">
        <v>3498</v>
      </c>
      <c r="C210" t="s">
        <v>575</v>
      </c>
      <c r="D210" t="s">
        <v>970</v>
      </c>
      <c r="E210" t="s">
        <v>1922</v>
      </c>
      <c r="F210" t="s">
        <v>833</v>
      </c>
      <c r="G210" s="2" t="s">
        <v>834</v>
      </c>
      <c r="H210" t="s">
        <v>18</v>
      </c>
      <c r="I210" t="s">
        <v>186</v>
      </c>
      <c r="J210" t="s">
        <v>187</v>
      </c>
      <c r="K210" t="s">
        <v>930</v>
      </c>
      <c r="L210" t="s">
        <v>930</v>
      </c>
      <c r="M210" t="s">
        <v>188</v>
      </c>
      <c r="N210" t="s">
        <v>136</v>
      </c>
      <c r="O210" t="s">
        <v>95</v>
      </c>
      <c r="P210" t="s">
        <v>90</v>
      </c>
      <c r="Q210">
        <v>1</v>
      </c>
      <c r="R210">
        <v>0</v>
      </c>
      <c r="S210" s="2" t="str">
        <f>IFERROR(VLOOKUP(C210,Sheet2!B:E,4,0),C210)</f>
        <v>优惠产品</v>
      </c>
    </row>
    <row r="211" spans="1:19" x14ac:dyDescent="0.2">
      <c r="A211" t="s">
        <v>1923</v>
      </c>
      <c r="B211">
        <v>999</v>
      </c>
      <c r="C211" t="s">
        <v>26</v>
      </c>
      <c r="D211" t="s">
        <v>971</v>
      </c>
      <c r="E211" t="s">
        <v>1924</v>
      </c>
      <c r="F211" t="s">
        <v>1018</v>
      </c>
      <c r="G211" s="2" t="s">
        <v>1019</v>
      </c>
      <c r="H211" t="s">
        <v>18</v>
      </c>
      <c r="I211" t="s">
        <v>40</v>
      </c>
      <c r="J211" t="s">
        <v>41</v>
      </c>
      <c r="K211" t="s">
        <v>930</v>
      </c>
      <c r="L211" t="s">
        <v>930</v>
      </c>
      <c r="M211" t="s">
        <v>42</v>
      </c>
      <c r="N211" t="s">
        <v>43</v>
      </c>
      <c r="O211" t="s">
        <v>24</v>
      </c>
      <c r="P211" t="s">
        <v>25</v>
      </c>
      <c r="Q211">
        <v>1</v>
      </c>
      <c r="R211">
        <v>0</v>
      </c>
      <c r="S211" s="2" t="str">
        <f>IFERROR(VLOOKUP(C211,Sheet2!B:E,4,0),C211)</f>
        <v>一般产品</v>
      </c>
    </row>
    <row r="212" spans="1:19" x14ac:dyDescent="0.2">
      <c r="A212" t="s">
        <v>1925</v>
      </c>
      <c r="B212">
        <v>1300</v>
      </c>
      <c r="C212" t="s">
        <v>26</v>
      </c>
      <c r="D212" t="s">
        <v>50</v>
      </c>
      <c r="E212" t="s">
        <v>595</v>
      </c>
      <c r="F212" t="s">
        <v>1061</v>
      </c>
      <c r="G212" s="2" t="s">
        <v>1062</v>
      </c>
      <c r="H212" t="s">
        <v>18</v>
      </c>
      <c r="I212" t="s">
        <v>97</v>
      </c>
      <c r="J212" t="s">
        <v>98</v>
      </c>
      <c r="K212" t="s">
        <v>930</v>
      </c>
      <c r="L212" t="s">
        <v>930</v>
      </c>
      <c r="M212" t="s">
        <v>99</v>
      </c>
      <c r="N212" t="s">
        <v>55</v>
      </c>
      <c r="O212" t="s">
        <v>33</v>
      </c>
      <c r="P212" t="s">
        <v>34</v>
      </c>
      <c r="Q212">
        <v>1</v>
      </c>
      <c r="R212">
        <v>0</v>
      </c>
      <c r="S212" s="2" t="str">
        <f>IFERROR(VLOOKUP(C212,Sheet2!B:E,4,0),C212)</f>
        <v>一般产品</v>
      </c>
    </row>
    <row r="213" spans="1:19" x14ac:dyDescent="0.2">
      <c r="A213" t="s">
        <v>1926</v>
      </c>
      <c r="B213">
        <v>3500</v>
      </c>
      <c r="C213" t="s">
        <v>26</v>
      </c>
      <c r="D213" t="s">
        <v>50</v>
      </c>
      <c r="E213" t="s">
        <v>1192</v>
      </c>
      <c r="F213" t="s">
        <v>1927</v>
      </c>
      <c r="G213" s="2" t="s">
        <v>1928</v>
      </c>
      <c r="H213" t="s">
        <v>18</v>
      </c>
      <c r="I213" t="s">
        <v>198</v>
      </c>
      <c r="J213" t="s">
        <v>199</v>
      </c>
      <c r="K213" t="s">
        <v>930</v>
      </c>
      <c r="L213" t="s">
        <v>930</v>
      </c>
      <c r="M213" t="s">
        <v>1048</v>
      </c>
      <c r="N213" t="s">
        <v>108</v>
      </c>
      <c r="O213" t="s">
        <v>33</v>
      </c>
      <c r="P213" t="s">
        <v>34</v>
      </c>
      <c r="Q213">
        <v>1</v>
      </c>
      <c r="R213">
        <v>0</v>
      </c>
      <c r="S213" s="2" t="str">
        <f>IFERROR(VLOOKUP(C213,Sheet2!B:E,4,0),C213)</f>
        <v>一般产品</v>
      </c>
    </row>
    <row r="214" spans="1:19" x14ac:dyDescent="0.2">
      <c r="A214" t="s">
        <v>1929</v>
      </c>
      <c r="B214">
        <v>5600</v>
      </c>
      <c r="C214" t="s">
        <v>26</v>
      </c>
      <c r="D214" t="s">
        <v>50</v>
      </c>
      <c r="E214" t="s">
        <v>1930</v>
      </c>
      <c r="F214" t="s">
        <v>1606</v>
      </c>
      <c r="G214" s="2" t="s">
        <v>1607</v>
      </c>
      <c r="H214" t="s">
        <v>18</v>
      </c>
      <c r="I214" t="s">
        <v>404</v>
      </c>
      <c r="J214" t="s">
        <v>405</v>
      </c>
      <c r="K214" t="s">
        <v>930</v>
      </c>
      <c r="L214" t="s">
        <v>930</v>
      </c>
      <c r="M214" t="s">
        <v>406</v>
      </c>
      <c r="N214" t="s">
        <v>55</v>
      </c>
      <c r="O214" t="s">
        <v>33</v>
      </c>
      <c r="P214" t="s">
        <v>34</v>
      </c>
      <c r="Q214">
        <v>1</v>
      </c>
      <c r="R214">
        <v>0</v>
      </c>
      <c r="S214" s="2" t="str">
        <f>IFERROR(VLOOKUP(C214,Sheet2!B:E,4,0),C214)</f>
        <v>一般产品</v>
      </c>
    </row>
    <row r="215" spans="1:19" x14ac:dyDescent="0.2">
      <c r="A215" t="s">
        <v>1931</v>
      </c>
      <c r="B215">
        <v>1200</v>
      </c>
      <c r="C215" t="s">
        <v>26</v>
      </c>
      <c r="D215" t="s">
        <v>972</v>
      </c>
      <c r="E215" t="s">
        <v>1932</v>
      </c>
      <c r="F215" t="s">
        <v>1554</v>
      </c>
      <c r="G215" s="2" t="s">
        <v>1555</v>
      </c>
      <c r="H215" t="s">
        <v>18</v>
      </c>
      <c r="I215" t="s">
        <v>65</v>
      </c>
      <c r="J215" t="s">
        <v>66</v>
      </c>
      <c r="K215" t="s">
        <v>930</v>
      </c>
      <c r="L215" t="s">
        <v>930</v>
      </c>
      <c r="M215" t="s">
        <v>67</v>
      </c>
      <c r="N215" t="s">
        <v>68</v>
      </c>
      <c r="O215" t="s">
        <v>33</v>
      </c>
      <c r="P215" t="s">
        <v>34</v>
      </c>
      <c r="Q215">
        <v>1</v>
      </c>
      <c r="R215">
        <v>0</v>
      </c>
      <c r="S215" s="2" t="str">
        <f>IFERROR(VLOOKUP(C215,Sheet2!B:E,4,0),C215)</f>
        <v>一般产品</v>
      </c>
    </row>
    <row r="216" spans="1:19" x14ac:dyDescent="0.2">
      <c r="A216" t="s">
        <v>1933</v>
      </c>
      <c r="B216">
        <v>2499</v>
      </c>
      <c r="C216" t="s">
        <v>26</v>
      </c>
      <c r="D216" t="s">
        <v>971</v>
      </c>
      <c r="E216" t="s">
        <v>1934</v>
      </c>
      <c r="F216" t="s">
        <v>1245</v>
      </c>
      <c r="G216" s="2" t="s">
        <v>1246</v>
      </c>
      <c r="H216" t="s">
        <v>18</v>
      </c>
      <c r="I216" t="s">
        <v>232</v>
      </c>
      <c r="J216" t="s">
        <v>233</v>
      </c>
      <c r="K216" t="s">
        <v>930</v>
      </c>
      <c r="L216" t="s">
        <v>930</v>
      </c>
      <c r="M216" t="s">
        <v>234</v>
      </c>
      <c r="N216" t="s">
        <v>43</v>
      </c>
      <c r="O216" t="s">
        <v>24</v>
      </c>
      <c r="P216" t="s">
        <v>25</v>
      </c>
      <c r="Q216">
        <v>1</v>
      </c>
      <c r="R216">
        <v>0</v>
      </c>
      <c r="S216" s="2" t="str">
        <f>IFERROR(VLOOKUP(C216,Sheet2!B:E,4,0),C216)</f>
        <v>一般产品</v>
      </c>
    </row>
    <row r="217" spans="1:19" x14ac:dyDescent="0.2">
      <c r="A217" t="s">
        <v>1935</v>
      </c>
      <c r="B217">
        <v>4899</v>
      </c>
      <c r="C217" t="s">
        <v>575</v>
      </c>
      <c r="D217" t="s">
        <v>726</v>
      </c>
      <c r="E217" t="s">
        <v>1328</v>
      </c>
      <c r="F217" t="s">
        <v>1041</v>
      </c>
      <c r="G217" s="2" t="s">
        <v>1042</v>
      </c>
      <c r="H217" t="s">
        <v>18</v>
      </c>
      <c r="I217" t="s">
        <v>930</v>
      </c>
      <c r="J217" t="s">
        <v>930</v>
      </c>
      <c r="K217" t="s">
        <v>115</v>
      </c>
      <c r="L217" t="s">
        <v>930</v>
      </c>
      <c r="M217" t="s">
        <v>116</v>
      </c>
      <c r="N217" t="s">
        <v>45</v>
      </c>
      <c r="O217" t="s">
        <v>117</v>
      </c>
      <c r="P217" t="s">
        <v>34</v>
      </c>
      <c r="Q217">
        <v>1</v>
      </c>
      <c r="R217">
        <v>0</v>
      </c>
      <c r="S217" s="2" t="str">
        <f>IFERROR(VLOOKUP(C217,Sheet2!B:E,4,0),C217)</f>
        <v>优惠产品</v>
      </c>
    </row>
    <row r="218" spans="1:19" x14ac:dyDescent="0.2">
      <c r="A218" t="s">
        <v>1936</v>
      </c>
      <c r="B218">
        <v>2998</v>
      </c>
      <c r="C218" t="s">
        <v>589</v>
      </c>
      <c r="D218" t="s">
        <v>972</v>
      </c>
      <c r="E218" t="s">
        <v>555</v>
      </c>
      <c r="F218" t="s">
        <v>1499</v>
      </c>
      <c r="G218" s="2" t="s">
        <v>1500</v>
      </c>
      <c r="H218" t="s">
        <v>18</v>
      </c>
      <c r="I218" t="s">
        <v>930</v>
      </c>
      <c r="J218" t="s">
        <v>930</v>
      </c>
      <c r="K218" t="s">
        <v>448</v>
      </c>
      <c r="L218" t="s">
        <v>930</v>
      </c>
      <c r="M218" t="s">
        <v>449</v>
      </c>
      <c r="N218" t="s">
        <v>194</v>
      </c>
      <c r="O218" t="s">
        <v>24</v>
      </c>
      <c r="P218" t="s">
        <v>25</v>
      </c>
      <c r="Q218">
        <v>1</v>
      </c>
      <c r="R218">
        <v>0</v>
      </c>
      <c r="S218" s="2" t="str">
        <f>IFERROR(VLOOKUP(C218,Sheet2!B:E,4,0),C218)</f>
        <v>优惠产品</v>
      </c>
    </row>
    <row r="219" spans="1:19" x14ac:dyDescent="0.2">
      <c r="A219" t="s">
        <v>1937</v>
      </c>
      <c r="B219">
        <v>2098</v>
      </c>
      <c r="C219" t="s">
        <v>26</v>
      </c>
      <c r="D219" t="s">
        <v>972</v>
      </c>
      <c r="E219" t="s">
        <v>1938</v>
      </c>
      <c r="F219" t="s">
        <v>1147</v>
      </c>
      <c r="G219" s="2" t="s">
        <v>1148</v>
      </c>
      <c r="H219" t="s">
        <v>28</v>
      </c>
      <c r="I219" t="s">
        <v>100</v>
      </c>
      <c r="J219" t="s">
        <v>101</v>
      </c>
      <c r="K219" t="s">
        <v>930</v>
      </c>
      <c r="L219" t="s">
        <v>930</v>
      </c>
      <c r="M219" t="s">
        <v>102</v>
      </c>
      <c r="N219" t="s">
        <v>59</v>
      </c>
      <c r="O219" t="s">
        <v>72</v>
      </c>
      <c r="P219" t="s">
        <v>34</v>
      </c>
      <c r="Q219">
        <v>1</v>
      </c>
      <c r="R219">
        <v>0</v>
      </c>
      <c r="S219" s="2" t="str">
        <f>IFERROR(VLOOKUP(C219,Sheet2!B:E,4,0),C219)</f>
        <v>一般产品</v>
      </c>
    </row>
    <row r="220" spans="1:19" x14ac:dyDescent="0.2">
      <c r="A220" t="s">
        <v>1939</v>
      </c>
      <c r="B220">
        <v>3100</v>
      </c>
      <c r="C220" t="s">
        <v>26</v>
      </c>
      <c r="D220" t="s">
        <v>50</v>
      </c>
      <c r="E220" t="s">
        <v>995</v>
      </c>
      <c r="F220" t="s">
        <v>478</v>
      </c>
      <c r="G220" s="2" t="s">
        <v>479</v>
      </c>
      <c r="H220" t="s">
        <v>18</v>
      </c>
      <c r="I220" t="s">
        <v>121</v>
      </c>
      <c r="J220" t="s">
        <v>122</v>
      </c>
      <c r="K220" t="s">
        <v>930</v>
      </c>
      <c r="L220" t="s">
        <v>930</v>
      </c>
      <c r="M220" t="s">
        <v>123</v>
      </c>
      <c r="N220" t="s">
        <v>55</v>
      </c>
      <c r="O220" t="s">
        <v>33</v>
      </c>
      <c r="P220" t="s">
        <v>34</v>
      </c>
      <c r="Q220">
        <v>1</v>
      </c>
      <c r="R220">
        <v>0</v>
      </c>
      <c r="S220" s="2" t="str">
        <f>IFERROR(VLOOKUP(C220,Sheet2!B:E,4,0),C220)</f>
        <v>一般产品</v>
      </c>
    </row>
    <row r="221" spans="1:19" x14ac:dyDescent="0.2">
      <c r="A221" t="s">
        <v>1940</v>
      </c>
      <c r="B221">
        <v>4999</v>
      </c>
      <c r="C221" t="s">
        <v>589</v>
      </c>
      <c r="D221" t="s">
        <v>970</v>
      </c>
      <c r="E221" t="s">
        <v>1941</v>
      </c>
      <c r="F221" t="s">
        <v>1758</v>
      </c>
      <c r="G221" s="2" t="s">
        <v>1759</v>
      </c>
      <c r="H221" t="s">
        <v>18</v>
      </c>
      <c r="I221" t="s">
        <v>143</v>
      </c>
      <c r="J221" t="s">
        <v>144</v>
      </c>
      <c r="K221" t="s">
        <v>930</v>
      </c>
      <c r="L221" t="s">
        <v>930</v>
      </c>
      <c r="M221" t="s">
        <v>145</v>
      </c>
      <c r="N221" t="s">
        <v>146</v>
      </c>
      <c r="O221" t="s">
        <v>33</v>
      </c>
      <c r="P221" t="s">
        <v>34</v>
      </c>
      <c r="Q221">
        <v>1</v>
      </c>
      <c r="R221">
        <v>0</v>
      </c>
      <c r="S221" s="2" t="str">
        <f>IFERROR(VLOOKUP(C221,Sheet2!B:E,4,0),C221)</f>
        <v>优惠产品</v>
      </c>
    </row>
    <row r="222" spans="1:19" x14ac:dyDescent="0.2">
      <c r="A222" t="s">
        <v>1942</v>
      </c>
      <c r="B222">
        <v>3999</v>
      </c>
      <c r="C222" t="s">
        <v>128</v>
      </c>
      <c r="D222" t="s">
        <v>970</v>
      </c>
      <c r="E222" t="s">
        <v>1943</v>
      </c>
      <c r="F222" t="s">
        <v>1564</v>
      </c>
      <c r="G222" s="2" t="s">
        <v>556</v>
      </c>
      <c r="H222" t="s">
        <v>18</v>
      </c>
      <c r="I222" t="s">
        <v>169</v>
      </c>
      <c r="J222" t="s">
        <v>170</v>
      </c>
      <c r="K222" t="s">
        <v>930</v>
      </c>
      <c r="L222" t="s">
        <v>930</v>
      </c>
      <c r="M222" t="s">
        <v>171</v>
      </c>
      <c r="N222" t="s">
        <v>38</v>
      </c>
      <c r="O222" t="s">
        <v>39</v>
      </c>
      <c r="P222" t="s">
        <v>25</v>
      </c>
      <c r="Q222">
        <v>1</v>
      </c>
      <c r="R222">
        <v>0</v>
      </c>
      <c r="S222" s="2" t="str">
        <f>IFERROR(VLOOKUP(C222,Sheet2!B:E,4,0),C222)</f>
        <v>一折贷</v>
      </c>
    </row>
    <row r="223" spans="1:19" x14ac:dyDescent="0.2">
      <c r="A223" t="s">
        <v>1944</v>
      </c>
      <c r="B223">
        <v>2500</v>
      </c>
      <c r="C223" t="s">
        <v>26</v>
      </c>
      <c r="D223" t="s">
        <v>50</v>
      </c>
      <c r="E223" t="s">
        <v>1945</v>
      </c>
      <c r="F223" t="s">
        <v>1894</v>
      </c>
      <c r="G223" s="2" t="s">
        <v>1895</v>
      </c>
      <c r="H223" t="s">
        <v>18</v>
      </c>
      <c r="I223" t="s">
        <v>107</v>
      </c>
      <c r="J223" t="s">
        <v>1046</v>
      </c>
      <c r="K223" t="s">
        <v>930</v>
      </c>
      <c r="L223" t="s">
        <v>930</v>
      </c>
      <c r="M223" t="s">
        <v>1047</v>
      </c>
      <c r="N223" t="s">
        <v>108</v>
      </c>
      <c r="O223" t="s">
        <v>33</v>
      </c>
      <c r="P223" t="s">
        <v>34</v>
      </c>
      <c r="Q223">
        <v>1</v>
      </c>
      <c r="R223">
        <v>0</v>
      </c>
      <c r="S223" s="2" t="str">
        <f>IFERROR(VLOOKUP(C223,Sheet2!B:E,4,0),C223)</f>
        <v>一般产品</v>
      </c>
    </row>
    <row r="224" spans="1:19" x14ac:dyDescent="0.2">
      <c r="A224" t="s">
        <v>1946</v>
      </c>
      <c r="B224">
        <v>1500</v>
      </c>
      <c r="C224" t="s">
        <v>26</v>
      </c>
      <c r="D224" t="s">
        <v>50</v>
      </c>
      <c r="E224" t="s">
        <v>1081</v>
      </c>
      <c r="F224" t="s">
        <v>824</v>
      </c>
      <c r="G224" s="2" t="s">
        <v>825</v>
      </c>
      <c r="H224" t="s">
        <v>18</v>
      </c>
      <c r="I224" t="s">
        <v>52</v>
      </c>
      <c r="J224" t="s">
        <v>53</v>
      </c>
      <c r="K224" t="s">
        <v>930</v>
      </c>
      <c r="L224" t="s">
        <v>930</v>
      </c>
      <c r="M224" t="s">
        <v>54</v>
      </c>
      <c r="N224" t="s">
        <v>55</v>
      </c>
      <c r="O224" t="s">
        <v>33</v>
      </c>
      <c r="P224" t="s">
        <v>34</v>
      </c>
      <c r="Q224">
        <v>1</v>
      </c>
      <c r="R224">
        <v>0</v>
      </c>
      <c r="S224" s="2" t="str">
        <f>IFERROR(VLOOKUP(C224,Sheet2!B:E,4,0),C224)</f>
        <v>一般产品</v>
      </c>
    </row>
    <row r="225" spans="1:19" x14ac:dyDescent="0.2">
      <c r="A225" t="s">
        <v>1947</v>
      </c>
      <c r="B225">
        <v>3980</v>
      </c>
      <c r="C225" t="s">
        <v>575</v>
      </c>
      <c r="D225" t="s">
        <v>971</v>
      </c>
      <c r="E225" t="s">
        <v>557</v>
      </c>
      <c r="F225" t="s">
        <v>1395</v>
      </c>
      <c r="G225" s="2" t="s">
        <v>1396</v>
      </c>
      <c r="H225" t="s">
        <v>28</v>
      </c>
      <c r="I225" t="s">
        <v>151</v>
      </c>
      <c r="J225" t="s">
        <v>152</v>
      </c>
      <c r="K225" t="s">
        <v>930</v>
      </c>
      <c r="L225" t="s">
        <v>930</v>
      </c>
      <c r="M225" t="s">
        <v>153</v>
      </c>
      <c r="N225" t="s">
        <v>61</v>
      </c>
      <c r="O225" t="s">
        <v>129</v>
      </c>
      <c r="P225" t="s">
        <v>25</v>
      </c>
      <c r="Q225">
        <v>1</v>
      </c>
      <c r="R225">
        <v>0</v>
      </c>
      <c r="S225" s="2" t="str">
        <f>IFERROR(VLOOKUP(C225,Sheet2!B:E,4,0),C225)</f>
        <v>优惠产品</v>
      </c>
    </row>
    <row r="226" spans="1:19" x14ac:dyDescent="0.2">
      <c r="A226" t="s">
        <v>1948</v>
      </c>
      <c r="B226">
        <v>2299</v>
      </c>
      <c r="C226" t="s">
        <v>575</v>
      </c>
      <c r="D226" t="s">
        <v>971</v>
      </c>
      <c r="E226" t="s">
        <v>1949</v>
      </c>
      <c r="F226" t="s">
        <v>1950</v>
      </c>
      <c r="G226" s="2" t="s">
        <v>1951</v>
      </c>
      <c r="H226" t="s">
        <v>28</v>
      </c>
      <c r="I226" t="s">
        <v>524</v>
      </c>
      <c r="J226" t="s">
        <v>525</v>
      </c>
      <c r="K226" t="s">
        <v>930</v>
      </c>
      <c r="L226" t="s">
        <v>930</v>
      </c>
      <c r="M226" t="s">
        <v>526</v>
      </c>
      <c r="N226" t="s">
        <v>194</v>
      </c>
      <c r="O226" t="s">
        <v>24</v>
      </c>
      <c r="P226" t="s">
        <v>25</v>
      </c>
      <c r="Q226">
        <v>1</v>
      </c>
      <c r="R226">
        <v>0</v>
      </c>
      <c r="S226" s="2" t="str">
        <f>IFERROR(VLOOKUP(C226,Sheet2!B:E,4,0),C226)</f>
        <v>优惠产品</v>
      </c>
    </row>
    <row r="227" spans="1:19" x14ac:dyDescent="0.2">
      <c r="A227" t="s">
        <v>1952</v>
      </c>
      <c r="B227">
        <v>3980</v>
      </c>
      <c r="C227" t="s">
        <v>19</v>
      </c>
      <c r="D227" t="s">
        <v>971</v>
      </c>
      <c r="E227" t="s">
        <v>717</v>
      </c>
      <c r="F227" t="s">
        <v>1302</v>
      </c>
      <c r="G227" s="2" t="s">
        <v>1303</v>
      </c>
      <c r="H227" t="s">
        <v>28</v>
      </c>
      <c r="I227" t="s">
        <v>467</v>
      </c>
      <c r="J227" t="s">
        <v>468</v>
      </c>
      <c r="K227" t="s">
        <v>930</v>
      </c>
      <c r="L227" t="s">
        <v>930</v>
      </c>
      <c r="M227" t="s">
        <v>469</v>
      </c>
      <c r="N227" t="s">
        <v>61</v>
      </c>
      <c r="O227" t="s">
        <v>129</v>
      </c>
      <c r="P227" t="s">
        <v>25</v>
      </c>
      <c r="Q227">
        <v>1</v>
      </c>
      <c r="R227">
        <v>0</v>
      </c>
      <c r="S227" s="2" t="str">
        <f>IFERROR(VLOOKUP(C227,Sheet2!B:E,4,0),C227)</f>
        <v>优惠产品</v>
      </c>
    </row>
    <row r="228" spans="1:19" x14ac:dyDescent="0.2">
      <c r="A228" t="s">
        <v>1953</v>
      </c>
      <c r="B228">
        <v>3200</v>
      </c>
      <c r="C228" t="s">
        <v>26</v>
      </c>
      <c r="D228" t="s">
        <v>972</v>
      </c>
      <c r="E228" t="s">
        <v>1954</v>
      </c>
      <c r="F228" t="s">
        <v>1020</v>
      </c>
      <c r="G228" s="2" t="s">
        <v>1021</v>
      </c>
      <c r="H228" t="s">
        <v>28</v>
      </c>
      <c r="I228" t="s">
        <v>930</v>
      </c>
      <c r="J228" t="s">
        <v>930</v>
      </c>
      <c r="K228" t="s">
        <v>930</v>
      </c>
      <c r="L228" t="s">
        <v>930</v>
      </c>
      <c r="M228" t="s">
        <v>45</v>
      </c>
      <c r="N228" t="s">
        <v>61</v>
      </c>
      <c r="O228" t="s">
        <v>64</v>
      </c>
      <c r="P228" t="s">
        <v>34</v>
      </c>
      <c r="Q228">
        <v>1</v>
      </c>
      <c r="R228">
        <v>0</v>
      </c>
      <c r="S228" s="2" t="str">
        <f>IFERROR(VLOOKUP(C228,Sheet2!B:E,4,0),C228)</f>
        <v>一般产品</v>
      </c>
    </row>
    <row r="229" spans="1:19" x14ac:dyDescent="0.2">
      <c r="A229" t="s">
        <v>1955</v>
      </c>
      <c r="B229">
        <v>3000</v>
      </c>
      <c r="C229" t="s">
        <v>26</v>
      </c>
      <c r="D229" t="s">
        <v>50</v>
      </c>
      <c r="E229" t="s">
        <v>1956</v>
      </c>
      <c r="F229" t="s">
        <v>1467</v>
      </c>
      <c r="G229" s="2" t="s">
        <v>1468</v>
      </c>
      <c r="H229" t="s">
        <v>18</v>
      </c>
      <c r="I229" t="s">
        <v>930</v>
      </c>
      <c r="J229" t="s">
        <v>930</v>
      </c>
      <c r="K229" t="s">
        <v>106</v>
      </c>
      <c r="L229" t="s">
        <v>930</v>
      </c>
      <c r="M229" t="s">
        <v>1456</v>
      </c>
      <c r="N229" t="s">
        <v>108</v>
      </c>
      <c r="O229" t="s">
        <v>33</v>
      </c>
      <c r="P229" t="s">
        <v>34</v>
      </c>
      <c r="Q229">
        <v>1</v>
      </c>
      <c r="R229">
        <v>0</v>
      </c>
      <c r="S229" s="2" t="str">
        <f>IFERROR(VLOOKUP(C229,Sheet2!B:E,4,0),C229)</f>
        <v>一般产品</v>
      </c>
    </row>
    <row r="230" spans="1:19" x14ac:dyDescent="0.2">
      <c r="A230" t="s">
        <v>1957</v>
      </c>
      <c r="B230">
        <v>1199</v>
      </c>
      <c r="C230" t="s">
        <v>589</v>
      </c>
      <c r="D230" t="s">
        <v>972</v>
      </c>
      <c r="E230" t="s">
        <v>1731</v>
      </c>
      <c r="F230" t="s">
        <v>587</v>
      </c>
      <c r="G230" s="2" t="s">
        <v>588</v>
      </c>
      <c r="H230" t="s">
        <v>18</v>
      </c>
      <c r="I230" t="s">
        <v>227</v>
      </c>
      <c r="J230" t="s">
        <v>228</v>
      </c>
      <c r="K230" t="s">
        <v>930</v>
      </c>
      <c r="L230" t="s">
        <v>930</v>
      </c>
      <c r="M230" t="s">
        <v>229</v>
      </c>
      <c r="N230" t="s">
        <v>194</v>
      </c>
      <c r="O230" t="s">
        <v>24</v>
      </c>
      <c r="P230" t="s">
        <v>25</v>
      </c>
      <c r="Q230">
        <v>1</v>
      </c>
      <c r="R230">
        <v>0</v>
      </c>
      <c r="S230" s="2" t="str">
        <f>IFERROR(VLOOKUP(C230,Sheet2!B:E,4,0),C230)</f>
        <v>优惠产品</v>
      </c>
    </row>
    <row r="231" spans="1:19" x14ac:dyDescent="0.2">
      <c r="A231" t="s">
        <v>1958</v>
      </c>
      <c r="B231">
        <v>2999</v>
      </c>
      <c r="C231" t="s">
        <v>26</v>
      </c>
      <c r="D231" t="s">
        <v>50</v>
      </c>
      <c r="E231" t="s">
        <v>1229</v>
      </c>
      <c r="F231" t="s">
        <v>1461</v>
      </c>
      <c r="G231" s="2" t="s">
        <v>1462</v>
      </c>
      <c r="H231" t="s">
        <v>18</v>
      </c>
      <c r="I231" t="s">
        <v>81</v>
      </c>
      <c r="J231" t="s">
        <v>1230</v>
      </c>
      <c r="K231" t="s">
        <v>930</v>
      </c>
      <c r="L231" t="s">
        <v>930</v>
      </c>
      <c r="M231" t="s">
        <v>1231</v>
      </c>
      <c r="N231" t="s">
        <v>68</v>
      </c>
      <c r="O231" t="s">
        <v>33</v>
      </c>
      <c r="P231" t="s">
        <v>34</v>
      </c>
      <c r="Q231">
        <v>1</v>
      </c>
      <c r="R231">
        <v>0</v>
      </c>
      <c r="S231" s="2" t="str">
        <f>IFERROR(VLOOKUP(C231,Sheet2!B:E,4,0),C231)</f>
        <v>一般产品</v>
      </c>
    </row>
    <row r="232" spans="1:19" x14ac:dyDescent="0.2">
      <c r="A232" t="s">
        <v>1959</v>
      </c>
      <c r="B232">
        <v>2699</v>
      </c>
      <c r="C232" t="s">
        <v>575</v>
      </c>
      <c r="D232" t="s">
        <v>50</v>
      </c>
      <c r="E232" t="s">
        <v>1960</v>
      </c>
      <c r="F232" t="s">
        <v>799</v>
      </c>
      <c r="G232" s="2" t="s">
        <v>800</v>
      </c>
      <c r="H232" t="s">
        <v>18</v>
      </c>
      <c r="I232" t="s">
        <v>111</v>
      </c>
      <c r="J232" t="s">
        <v>112</v>
      </c>
      <c r="K232" t="s">
        <v>930</v>
      </c>
      <c r="L232" t="s">
        <v>930</v>
      </c>
      <c r="M232" t="s">
        <v>113</v>
      </c>
      <c r="N232" t="s">
        <v>114</v>
      </c>
      <c r="O232" t="s">
        <v>24</v>
      </c>
      <c r="P232" t="s">
        <v>25</v>
      </c>
      <c r="Q232">
        <v>1</v>
      </c>
      <c r="R232">
        <v>0</v>
      </c>
      <c r="S232" s="2" t="str">
        <f>IFERROR(VLOOKUP(C232,Sheet2!B:E,4,0),C232)</f>
        <v>优惠产品</v>
      </c>
    </row>
    <row r="233" spans="1:19" x14ac:dyDescent="0.2">
      <c r="A233" t="s">
        <v>1961</v>
      </c>
      <c r="B233">
        <v>4500</v>
      </c>
      <c r="C233" t="s">
        <v>26</v>
      </c>
      <c r="D233" t="s">
        <v>970</v>
      </c>
      <c r="E233" t="s">
        <v>1962</v>
      </c>
      <c r="F233" t="s">
        <v>1454</v>
      </c>
      <c r="G233" s="2" t="s">
        <v>1455</v>
      </c>
      <c r="H233" t="s">
        <v>18</v>
      </c>
      <c r="I233" t="s">
        <v>179</v>
      </c>
      <c r="J233" t="s">
        <v>180</v>
      </c>
      <c r="K233" t="s">
        <v>930</v>
      </c>
      <c r="L233" t="s">
        <v>930</v>
      </c>
      <c r="M233" t="s">
        <v>181</v>
      </c>
      <c r="N233" t="s">
        <v>38</v>
      </c>
      <c r="O233" t="s">
        <v>39</v>
      </c>
      <c r="P233" t="s">
        <v>25</v>
      </c>
      <c r="Q233">
        <v>1</v>
      </c>
      <c r="R233">
        <v>0</v>
      </c>
      <c r="S233" s="2" t="str">
        <f>IFERROR(VLOOKUP(C233,Sheet2!B:E,4,0),C233)</f>
        <v>一般产品</v>
      </c>
    </row>
    <row r="234" spans="1:19" x14ac:dyDescent="0.2">
      <c r="A234" t="s">
        <v>1963</v>
      </c>
      <c r="B234">
        <v>3498</v>
      </c>
      <c r="C234" t="s">
        <v>26</v>
      </c>
      <c r="D234" t="s">
        <v>971</v>
      </c>
      <c r="E234" t="s">
        <v>1964</v>
      </c>
      <c r="F234" t="s">
        <v>1472</v>
      </c>
      <c r="G234" s="2" t="s">
        <v>1473</v>
      </c>
      <c r="H234" t="s">
        <v>18</v>
      </c>
      <c r="I234" t="s">
        <v>147</v>
      </c>
      <c r="J234" t="s">
        <v>148</v>
      </c>
      <c r="K234" t="s">
        <v>930</v>
      </c>
      <c r="L234" t="s">
        <v>930</v>
      </c>
      <c r="M234" t="s">
        <v>149</v>
      </c>
      <c r="N234" t="s">
        <v>73</v>
      </c>
      <c r="O234" t="s">
        <v>24</v>
      </c>
      <c r="P234" t="s">
        <v>25</v>
      </c>
      <c r="Q234">
        <v>1</v>
      </c>
      <c r="R234">
        <v>0</v>
      </c>
      <c r="S234" s="2" t="str">
        <f>IFERROR(VLOOKUP(C234,Sheet2!B:E,4,0),C234)</f>
        <v>一般产品</v>
      </c>
    </row>
    <row r="235" spans="1:19" x14ac:dyDescent="0.2">
      <c r="A235" t="s">
        <v>1965</v>
      </c>
      <c r="B235">
        <v>4600</v>
      </c>
      <c r="C235" t="s">
        <v>575</v>
      </c>
      <c r="D235" t="s">
        <v>726</v>
      </c>
      <c r="E235" t="s">
        <v>1589</v>
      </c>
      <c r="F235" t="s">
        <v>1176</v>
      </c>
      <c r="G235" s="2" t="s">
        <v>1177</v>
      </c>
      <c r="H235" t="s">
        <v>18</v>
      </c>
      <c r="I235" t="s">
        <v>930</v>
      </c>
      <c r="J235" t="s">
        <v>930</v>
      </c>
      <c r="K235" t="s">
        <v>756</v>
      </c>
      <c r="L235" t="s">
        <v>930</v>
      </c>
      <c r="M235" t="s">
        <v>757</v>
      </c>
      <c r="N235" t="s">
        <v>62</v>
      </c>
      <c r="O235" t="s">
        <v>117</v>
      </c>
      <c r="P235" t="s">
        <v>34</v>
      </c>
      <c r="Q235">
        <v>1</v>
      </c>
      <c r="R235">
        <v>0</v>
      </c>
      <c r="S235" s="2" t="str">
        <f>IFERROR(VLOOKUP(C235,Sheet2!B:E,4,0),C235)</f>
        <v>优惠产品</v>
      </c>
    </row>
    <row r="236" spans="1:19" x14ac:dyDescent="0.2">
      <c r="A236" t="s">
        <v>1966</v>
      </c>
      <c r="B236">
        <v>3500</v>
      </c>
      <c r="C236" t="s">
        <v>575</v>
      </c>
      <c r="D236" t="s">
        <v>50</v>
      </c>
      <c r="E236" t="s">
        <v>1967</v>
      </c>
      <c r="F236" t="s">
        <v>960</v>
      </c>
      <c r="G236" s="2" t="s">
        <v>808</v>
      </c>
      <c r="H236" t="s">
        <v>18</v>
      </c>
      <c r="I236" t="s">
        <v>930</v>
      </c>
      <c r="J236" t="s">
        <v>930</v>
      </c>
      <c r="K236" t="s">
        <v>756</v>
      </c>
      <c r="L236" t="s">
        <v>930</v>
      </c>
      <c r="M236" t="s">
        <v>757</v>
      </c>
      <c r="N236" t="s">
        <v>62</v>
      </c>
      <c r="O236" t="s">
        <v>117</v>
      </c>
      <c r="P236" t="s">
        <v>34</v>
      </c>
      <c r="Q236">
        <v>1</v>
      </c>
      <c r="R236">
        <v>0</v>
      </c>
      <c r="S236" s="2" t="str">
        <f>IFERROR(VLOOKUP(C236,Sheet2!B:E,4,0),C236)</f>
        <v>优惠产品</v>
      </c>
    </row>
    <row r="237" spans="1:19" x14ac:dyDescent="0.2">
      <c r="A237" t="s">
        <v>1968</v>
      </c>
      <c r="B237">
        <v>3498</v>
      </c>
      <c r="C237" t="s">
        <v>575</v>
      </c>
      <c r="D237" t="s">
        <v>970</v>
      </c>
      <c r="E237" t="s">
        <v>1969</v>
      </c>
      <c r="F237" t="s">
        <v>1970</v>
      </c>
      <c r="G237" s="2" t="s">
        <v>1971</v>
      </c>
      <c r="H237" t="s">
        <v>28</v>
      </c>
      <c r="I237" t="s">
        <v>91</v>
      </c>
      <c r="J237" t="s">
        <v>92</v>
      </c>
      <c r="K237" t="s">
        <v>930</v>
      </c>
      <c r="L237" t="s">
        <v>930</v>
      </c>
      <c r="M237" t="s">
        <v>93</v>
      </c>
      <c r="N237" t="s">
        <v>94</v>
      </c>
      <c r="O237" t="s">
        <v>95</v>
      </c>
      <c r="P237" t="s">
        <v>90</v>
      </c>
      <c r="Q237">
        <v>1</v>
      </c>
      <c r="R237">
        <v>0</v>
      </c>
      <c r="S237" s="2" t="str">
        <f>IFERROR(VLOOKUP(C237,Sheet2!B:E,4,0),C237)</f>
        <v>优惠产品</v>
      </c>
    </row>
    <row r="238" spans="1:19" x14ac:dyDescent="0.2">
      <c r="A238" t="s">
        <v>1972</v>
      </c>
      <c r="B238">
        <v>2700</v>
      </c>
      <c r="C238" t="s">
        <v>26</v>
      </c>
      <c r="D238" t="s">
        <v>971</v>
      </c>
      <c r="E238" t="s">
        <v>393</v>
      </c>
      <c r="F238" t="s">
        <v>540</v>
      </c>
      <c r="G238" s="2" t="s">
        <v>541</v>
      </c>
      <c r="H238" t="s">
        <v>18</v>
      </c>
      <c r="I238" t="s">
        <v>260</v>
      </c>
      <c r="J238" t="s">
        <v>261</v>
      </c>
      <c r="K238" t="s">
        <v>930</v>
      </c>
      <c r="L238" t="s">
        <v>930</v>
      </c>
      <c r="M238" t="s">
        <v>262</v>
      </c>
      <c r="N238" t="s">
        <v>45</v>
      </c>
      <c r="O238" t="s">
        <v>48</v>
      </c>
      <c r="P238" t="s">
        <v>49</v>
      </c>
      <c r="Q238">
        <v>1</v>
      </c>
      <c r="R238">
        <v>0</v>
      </c>
      <c r="S238" s="2" t="str">
        <f>IFERROR(VLOOKUP(C238,Sheet2!B:E,4,0),C238)</f>
        <v>一般产品</v>
      </c>
    </row>
    <row r="239" spans="1:19" x14ac:dyDescent="0.2">
      <c r="A239" t="s">
        <v>1973</v>
      </c>
      <c r="B239">
        <v>2799</v>
      </c>
      <c r="C239" t="s">
        <v>26</v>
      </c>
      <c r="D239" t="s">
        <v>50</v>
      </c>
      <c r="E239" t="s">
        <v>1106</v>
      </c>
      <c r="F239" t="s">
        <v>1974</v>
      </c>
      <c r="G239" s="2" t="s">
        <v>1975</v>
      </c>
      <c r="H239" t="s">
        <v>18</v>
      </c>
      <c r="I239" t="s">
        <v>242</v>
      </c>
      <c r="J239" t="s">
        <v>243</v>
      </c>
      <c r="K239" t="s">
        <v>930</v>
      </c>
      <c r="L239" t="s">
        <v>930</v>
      </c>
      <c r="M239" t="s">
        <v>244</v>
      </c>
      <c r="N239" t="s">
        <v>46</v>
      </c>
      <c r="O239" t="s">
        <v>63</v>
      </c>
      <c r="P239" t="s">
        <v>34</v>
      </c>
      <c r="Q239">
        <v>1</v>
      </c>
      <c r="R239">
        <v>0</v>
      </c>
      <c r="S239" s="2" t="str">
        <f>IFERROR(VLOOKUP(C239,Sheet2!B:E,4,0),C239)</f>
        <v>一般产品</v>
      </c>
    </row>
    <row r="240" spans="1:19" x14ac:dyDescent="0.2">
      <c r="A240" t="s">
        <v>1976</v>
      </c>
      <c r="B240">
        <v>2000</v>
      </c>
      <c r="C240" t="s">
        <v>26</v>
      </c>
      <c r="D240" t="s">
        <v>970</v>
      </c>
      <c r="E240" t="s">
        <v>210</v>
      </c>
      <c r="F240" t="s">
        <v>1493</v>
      </c>
      <c r="G240" s="2" t="s">
        <v>1494</v>
      </c>
      <c r="H240" t="s">
        <v>18</v>
      </c>
      <c r="I240" t="s">
        <v>88</v>
      </c>
      <c r="J240" t="s">
        <v>89</v>
      </c>
      <c r="K240" t="s">
        <v>930</v>
      </c>
      <c r="L240" t="s">
        <v>930</v>
      </c>
      <c r="M240" t="s">
        <v>933</v>
      </c>
      <c r="N240" t="s">
        <v>32</v>
      </c>
      <c r="O240" t="s">
        <v>33</v>
      </c>
      <c r="P240" t="s">
        <v>34</v>
      </c>
      <c r="Q240">
        <v>1</v>
      </c>
      <c r="R240">
        <v>0</v>
      </c>
      <c r="S240" s="2" t="str">
        <f>IFERROR(VLOOKUP(C240,Sheet2!B:E,4,0),C240)</f>
        <v>一般产品</v>
      </c>
    </row>
    <row r="241" spans="1:19" x14ac:dyDescent="0.2">
      <c r="A241" t="s">
        <v>1977</v>
      </c>
      <c r="B241">
        <v>2129</v>
      </c>
      <c r="C241" t="s">
        <v>26</v>
      </c>
      <c r="D241" t="s">
        <v>972</v>
      </c>
      <c r="E241" t="s">
        <v>1978</v>
      </c>
      <c r="F241" t="s">
        <v>745</v>
      </c>
      <c r="G241" s="2" t="s">
        <v>746</v>
      </c>
      <c r="H241" t="s">
        <v>18</v>
      </c>
      <c r="I241" t="s">
        <v>52</v>
      </c>
      <c r="J241" t="s">
        <v>53</v>
      </c>
      <c r="K241" t="s">
        <v>930</v>
      </c>
      <c r="L241" t="s">
        <v>930</v>
      </c>
      <c r="M241" t="s">
        <v>54</v>
      </c>
      <c r="N241" t="s">
        <v>55</v>
      </c>
      <c r="O241" t="s">
        <v>33</v>
      </c>
      <c r="P241" t="s">
        <v>34</v>
      </c>
      <c r="Q241">
        <v>1</v>
      </c>
      <c r="R241">
        <v>0</v>
      </c>
      <c r="S241" s="2" t="str">
        <f>IFERROR(VLOOKUP(C241,Sheet2!B:E,4,0),C241)</f>
        <v>一般产品</v>
      </c>
    </row>
    <row r="242" spans="1:19" x14ac:dyDescent="0.2">
      <c r="A242" t="s">
        <v>1979</v>
      </c>
      <c r="B242">
        <v>2799</v>
      </c>
      <c r="C242" t="s">
        <v>589</v>
      </c>
      <c r="D242" t="s">
        <v>971</v>
      </c>
      <c r="E242" t="s">
        <v>1980</v>
      </c>
      <c r="F242" t="s">
        <v>1421</v>
      </c>
      <c r="G242" s="2" t="s">
        <v>1422</v>
      </c>
      <c r="H242" t="s">
        <v>18</v>
      </c>
      <c r="I242" t="s">
        <v>20</v>
      </c>
      <c r="J242" t="s">
        <v>21</v>
      </c>
      <c r="K242" t="s">
        <v>930</v>
      </c>
      <c r="L242" t="s">
        <v>930</v>
      </c>
      <c r="M242" t="s">
        <v>22</v>
      </c>
      <c r="N242" t="s">
        <v>23</v>
      </c>
      <c r="O242" t="s">
        <v>24</v>
      </c>
      <c r="P242" t="s">
        <v>25</v>
      </c>
      <c r="Q242">
        <v>1</v>
      </c>
      <c r="R242">
        <v>0</v>
      </c>
      <c r="S242" s="2" t="str">
        <f>IFERROR(VLOOKUP(C242,Sheet2!B:E,4,0),C242)</f>
        <v>优惠产品</v>
      </c>
    </row>
    <row r="243" spans="1:19" x14ac:dyDescent="0.2">
      <c r="A243" t="s">
        <v>1981</v>
      </c>
      <c r="B243">
        <v>1500</v>
      </c>
      <c r="C243" t="s">
        <v>26</v>
      </c>
      <c r="D243" t="s">
        <v>50</v>
      </c>
      <c r="E243" t="s">
        <v>1247</v>
      </c>
      <c r="F243" t="s">
        <v>1310</v>
      </c>
      <c r="G243" s="2" t="s">
        <v>1311</v>
      </c>
      <c r="H243" t="s">
        <v>28</v>
      </c>
      <c r="I243" t="s">
        <v>159</v>
      </c>
      <c r="J243" t="s">
        <v>160</v>
      </c>
      <c r="K243" t="s">
        <v>930</v>
      </c>
      <c r="L243" t="s">
        <v>930</v>
      </c>
      <c r="M243" t="s">
        <v>161</v>
      </c>
      <c r="N243" t="s">
        <v>55</v>
      </c>
      <c r="O243" t="s">
        <v>33</v>
      </c>
      <c r="P243" t="s">
        <v>34</v>
      </c>
      <c r="Q243">
        <v>1</v>
      </c>
      <c r="R243">
        <v>0</v>
      </c>
      <c r="S243" s="2" t="str">
        <f>IFERROR(VLOOKUP(C243,Sheet2!B:E,4,0),C243)</f>
        <v>一般产品</v>
      </c>
    </row>
    <row r="244" spans="1:19" x14ac:dyDescent="0.2">
      <c r="A244" t="s">
        <v>1982</v>
      </c>
      <c r="B244">
        <v>2898</v>
      </c>
      <c r="C244" t="s">
        <v>589</v>
      </c>
      <c r="D244" t="s">
        <v>972</v>
      </c>
      <c r="E244" t="s">
        <v>1983</v>
      </c>
      <c r="F244" t="s">
        <v>1112</v>
      </c>
      <c r="G244" s="2" t="s">
        <v>1113</v>
      </c>
      <c r="H244" t="s">
        <v>18</v>
      </c>
      <c r="I244" t="s">
        <v>227</v>
      </c>
      <c r="J244" t="s">
        <v>228</v>
      </c>
      <c r="K244" t="s">
        <v>930</v>
      </c>
      <c r="L244" t="s">
        <v>930</v>
      </c>
      <c r="M244" t="s">
        <v>229</v>
      </c>
      <c r="N244" t="s">
        <v>194</v>
      </c>
      <c r="O244" t="s">
        <v>24</v>
      </c>
      <c r="P244" t="s">
        <v>25</v>
      </c>
      <c r="Q244">
        <v>1</v>
      </c>
      <c r="R244">
        <v>0</v>
      </c>
      <c r="S244" s="2" t="str">
        <f>IFERROR(VLOOKUP(C244,Sheet2!B:E,4,0),C244)</f>
        <v>优惠产品</v>
      </c>
    </row>
    <row r="245" spans="1:19" x14ac:dyDescent="0.2">
      <c r="A245" t="s">
        <v>1984</v>
      </c>
      <c r="B245">
        <v>1598</v>
      </c>
      <c r="C245" t="s">
        <v>589</v>
      </c>
      <c r="D245" t="s">
        <v>972</v>
      </c>
      <c r="E245" t="s">
        <v>1985</v>
      </c>
      <c r="F245" t="s">
        <v>1201</v>
      </c>
      <c r="G245" s="2" t="s">
        <v>1202</v>
      </c>
      <c r="H245" t="s">
        <v>18</v>
      </c>
      <c r="I245" t="s">
        <v>524</v>
      </c>
      <c r="J245" t="s">
        <v>525</v>
      </c>
      <c r="K245" t="s">
        <v>930</v>
      </c>
      <c r="L245" t="s">
        <v>930</v>
      </c>
      <c r="M245" t="s">
        <v>526</v>
      </c>
      <c r="N245" t="s">
        <v>194</v>
      </c>
      <c r="O245" t="s">
        <v>24</v>
      </c>
      <c r="P245" t="s">
        <v>25</v>
      </c>
      <c r="Q245">
        <v>1</v>
      </c>
      <c r="R245">
        <v>0</v>
      </c>
      <c r="S245" s="2" t="str">
        <f>IFERROR(VLOOKUP(C245,Sheet2!B:E,4,0),C245)</f>
        <v>优惠产品</v>
      </c>
    </row>
    <row r="246" spans="1:19" x14ac:dyDescent="0.2">
      <c r="A246" t="s">
        <v>1986</v>
      </c>
      <c r="B246">
        <v>2998</v>
      </c>
      <c r="C246" t="s">
        <v>26</v>
      </c>
      <c r="D246" t="s">
        <v>970</v>
      </c>
      <c r="E246" t="s">
        <v>1135</v>
      </c>
      <c r="F246" t="s">
        <v>1461</v>
      </c>
      <c r="G246" s="2" t="s">
        <v>1462</v>
      </c>
      <c r="H246" t="s">
        <v>18</v>
      </c>
      <c r="I246" t="s">
        <v>81</v>
      </c>
      <c r="J246" t="s">
        <v>1230</v>
      </c>
      <c r="K246" t="s">
        <v>930</v>
      </c>
      <c r="L246" t="s">
        <v>930</v>
      </c>
      <c r="M246" t="s">
        <v>1231</v>
      </c>
      <c r="N246" t="s">
        <v>68</v>
      </c>
      <c r="O246" t="s">
        <v>33</v>
      </c>
      <c r="P246" t="s">
        <v>34</v>
      </c>
      <c r="Q246">
        <v>1</v>
      </c>
      <c r="R246">
        <v>0</v>
      </c>
      <c r="S246" s="2" t="str">
        <f>IFERROR(VLOOKUP(C246,Sheet2!B:E,4,0),C246)</f>
        <v>一般产品</v>
      </c>
    </row>
    <row r="247" spans="1:19" x14ac:dyDescent="0.2">
      <c r="A247" t="s">
        <v>1987</v>
      </c>
      <c r="B247">
        <v>3300</v>
      </c>
      <c r="C247" t="s">
        <v>26</v>
      </c>
      <c r="D247" t="s">
        <v>50</v>
      </c>
      <c r="E247" t="s">
        <v>1988</v>
      </c>
      <c r="F247" t="s">
        <v>1514</v>
      </c>
      <c r="G247" s="2" t="s">
        <v>1515</v>
      </c>
      <c r="H247" t="s">
        <v>28</v>
      </c>
      <c r="I247" t="s">
        <v>107</v>
      </c>
      <c r="J247" t="s">
        <v>1046</v>
      </c>
      <c r="K247" t="s">
        <v>930</v>
      </c>
      <c r="L247" t="s">
        <v>930</v>
      </c>
      <c r="M247" t="s">
        <v>1047</v>
      </c>
      <c r="N247" t="s">
        <v>108</v>
      </c>
      <c r="O247" t="s">
        <v>33</v>
      </c>
      <c r="P247" t="s">
        <v>34</v>
      </c>
      <c r="Q247">
        <v>1</v>
      </c>
      <c r="R247">
        <v>0</v>
      </c>
      <c r="S247" s="2" t="str">
        <f>IFERROR(VLOOKUP(C247,Sheet2!B:E,4,0),C247)</f>
        <v>一般产品</v>
      </c>
    </row>
    <row r="248" spans="1:19" x14ac:dyDescent="0.2">
      <c r="A248" t="s">
        <v>1989</v>
      </c>
      <c r="B248">
        <v>3699</v>
      </c>
      <c r="C248" t="s">
        <v>26</v>
      </c>
      <c r="D248" t="s">
        <v>50</v>
      </c>
      <c r="E248" t="s">
        <v>1264</v>
      </c>
      <c r="F248" t="s">
        <v>1265</v>
      </c>
      <c r="G248" s="2" t="s">
        <v>1266</v>
      </c>
      <c r="H248" t="s">
        <v>18</v>
      </c>
      <c r="I248" t="s">
        <v>934</v>
      </c>
      <c r="J248" t="s">
        <v>935</v>
      </c>
      <c r="K248" t="s">
        <v>930</v>
      </c>
      <c r="L248" t="s">
        <v>930</v>
      </c>
      <c r="M248" t="s">
        <v>936</v>
      </c>
      <c r="N248" t="s">
        <v>45</v>
      </c>
      <c r="O248" t="s">
        <v>48</v>
      </c>
      <c r="P248" t="s">
        <v>49</v>
      </c>
      <c r="Q248">
        <v>1</v>
      </c>
      <c r="R248">
        <v>0</v>
      </c>
      <c r="S248" s="2" t="str">
        <f>IFERROR(VLOOKUP(C248,Sheet2!B:E,4,0),C248)</f>
        <v>一般产品</v>
      </c>
    </row>
    <row r="249" spans="1:19" x14ac:dyDescent="0.2">
      <c r="A249" t="s">
        <v>1990</v>
      </c>
      <c r="B249">
        <v>3980</v>
      </c>
      <c r="C249" t="s">
        <v>575</v>
      </c>
      <c r="D249" t="s">
        <v>971</v>
      </c>
      <c r="E249" t="s">
        <v>150</v>
      </c>
      <c r="F249" t="s">
        <v>319</v>
      </c>
      <c r="G249" s="2" t="s">
        <v>320</v>
      </c>
      <c r="H249" t="s">
        <v>18</v>
      </c>
      <c r="I249" t="s">
        <v>151</v>
      </c>
      <c r="J249" t="s">
        <v>152</v>
      </c>
      <c r="K249" t="s">
        <v>930</v>
      </c>
      <c r="L249" t="s">
        <v>930</v>
      </c>
      <c r="M249" t="s">
        <v>153</v>
      </c>
      <c r="N249" t="s">
        <v>61</v>
      </c>
      <c r="O249" t="s">
        <v>129</v>
      </c>
      <c r="P249" t="s">
        <v>25</v>
      </c>
      <c r="Q249">
        <v>1</v>
      </c>
      <c r="R249">
        <v>0</v>
      </c>
      <c r="S249" s="2" t="str">
        <f>IFERROR(VLOOKUP(C249,Sheet2!B:E,4,0),C249)</f>
        <v>优惠产品</v>
      </c>
    </row>
    <row r="250" spans="1:19" x14ac:dyDescent="0.2">
      <c r="A250" t="s">
        <v>1991</v>
      </c>
      <c r="B250">
        <v>2000</v>
      </c>
      <c r="C250" t="s">
        <v>26</v>
      </c>
      <c r="D250" t="s">
        <v>970</v>
      </c>
      <c r="E250" t="s">
        <v>647</v>
      </c>
      <c r="F250" t="s">
        <v>648</v>
      </c>
      <c r="G250" s="2" t="s">
        <v>649</v>
      </c>
      <c r="H250" t="s">
        <v>18</v>
      </c>
      <c r="I250" t="s">
        <v>88</v>
      </c>
      <c r="J250" t="s">
        <v>89</v>
      </c>
      <c r="K250" t="s">
        <v>930</v>
      </c>
      <c r="L250" t="s">
        <v>930</v>
      </c>
      <c r="M250" t="s">
        <v>933</v>
      </c>
      <c r="N250" t="s">
        <v>32</v>
      </c>
      <c r="O250" t="s">
        <v>33</v>
      </c>
      <c r="P250" t="s">
        <v>34</v>
      </c>
      <c r="Q250">
        <v>1</v>
      </c>
      <c r="R250">
        <v>0</v>
      </c>
      <c r="S250" s="2" t="str">
        <f>IFERROR(VLOOKUP(C250,Sheet2!B:E,4,0),C250)</f>
        <v>一般产品</v>
      </c>
    </row>
    <row r="251" spans="1:19" x14ac:dyDescent="0.2">
      <c r="A251" t="s">
        <v>1992</v>
      </c>
      <c r="B251">
        <v>2500</v>
      </c>
      <c r="C251" t="s">
        <v>26</v>
      </c>
      <c r="D251" t="s">
        <v>970</v>
      </c>
      <c r="E251" t="s">
        <v>365</v>
      </c>
      <c r="F251" t="s">
        <v>1066</v>
      </c>
      <c r="G251" s="2" t="s">
        <v>1067</v>
      </c>
      <c r="H251" t="s">
        <v>18</v>
      </c>
      <c r="I251" t="s">
        <v>97</v>
      </c>
      <c r="J251" t="s">
        <v>98</v>
      </c>
      <c r="K251" t="s">
        <v>930</v>
      </c>
      <c r="L251" t="s">
        <v>930</v>
      </c>
      <c r="M251" t="s">
        <v>99</v>
      </c>
      <c r="N251" t="s">
        <v>55</v>
      </c>
      <c r="O251" t="s">
        <v>33</v>
      </c>
      <c r="P251" t="s">
        <v>34</v>
      </c>
      <c r="Q251">
        <v>1</v>
      </c>
      <c r="R251">
        <v>0</v>
      </c>
      <c r="S251" s="2" t="str">
        <f>IFERROR(VLOOKUP(C251,Sheet2!B:E,4,0),C251)</f>
        <v>一般产品</v>
      </c>
    </row>
    <row r="252" spans="1:19" x14ac:dyDescent="0.2">
      <c r="A252" t="s">
        <v>1993</v>
      </c>
      <c r="B252">
        <v>1300</v>
      </c>
      <c r="C252" t="s">
        <v>589</v>
      </c>
      <c r="D252" t="s">
        <v>970</v>
      </c>
      <c r="E252" t="s">
        <v>1994</v>
      </c>
      <c r="F252" t="s">
        <v>1592</v>
      </c>
      <c r="G252" s="2" t="s">
        <v>1593</v>
      </c>
      <c r="H252" t="s">
        <v>18</v>
      </c>
      <c r="I252" t="s">
        <v>143</v>
      </c>
      <c r="J252" t="s">
        <v>144</v>
      </c>
      <c r="K252" t="s">
        <v>930</v>
      </c>
      <c r="L252" t="s">
        <v>930</v>
      </c>
      <c r="M252" t="s">
        <v>145</v>
      </c>
      <c r="N252" t="s">
        <v>146</v>
      </c>
      <c r="O252" t="s">
        <v>33</v>
      </c>
      <c r="P252" t="s">
        <v>34</v>
      </c>
      <c r="Q252">
        <v>1</v>
      </c>
      <c r="R252">
        <v>0</v>
      </c>
      <c r="S252" s="2" t="str">
        <f>IFERROR(VLOOKUP(C252,Sheet2!B:E,4,0),C252)</f>
        <v>优惠产品</v>
      </c>
    </row>
    <row r="253" spans="1:19" x14ac:dyDescent="0.2">
      <c r="A253" t="s">
        <v>1995</v>
      </c>
      <c r="B253">
        <v>1800</v>
      </c>
      <c r="C253" t="s">
        <v>26</v>
      </c>
      <c r="D253" t="s">
        <v>50</v>
      </c>
      <c r="E253" t="s">
        <v>595</v>
      </c>
      <c r="F253" t="s">
        <v>1996</v>
      </c>
      <c r="G253" s="2" t="s">
        <v>1997</v>
      </c>
      <c r="H253" t="s">
        <v>18</v>
      </c>
      <c r="I253" t="s">
        <v>97</v>
      </c>
      <c r="J253" t="s">
        <v>98</v>
      </c>
      <c r="K253" t="s">
        <v>930</v>
      </c>
      <c r="L253" t="s">
        <v>930</v>
      </c>
      <c r="M253" t="s">
        <v>99</v>
      </c>
      <c r="N253" t="s">
        <v>55</v>
      </c>
      <c r="O253" t="s">
        <v>33</v>
      </c>
      <c r="P253" t="s">
        <v>34</v>
      </c>
      <c r="Q253">
        <v>1</v>
      </c>
      <c r="R253">
        <v>0</v>
      </c>
      <c r="S253" s="2" t="str">
        <f>IFERROR(VLOOKUP(C253,Sheet2!B:E,4,0),C253)</f>
        <v>一般产品</v>
      </c>
    </row>
    <row r="254" spans="1:19" x14ac:dyDescent="0.2">
      <c r="A254" t="s">
        <v>1998</v>
      </c>
      <c r="B254">
        <v>2998</v>
      </c>
      <c r="C254" t="s">
        <v>575</v>
      </c>
      <c r="D254" t="s">
        <v>972</v>
      </c>
      <c r="E254" t="s">
        <v>701</v>
      </c>
      <c r="F254" t="s">
        <v>172</v>
      </c>
      <c r="G254" s="2" t="s">
        <v>173</v>
      </c>
      <c r="H254" t="s">
        <v>18</v>
      </c>
      <c r="I254" t="s">
        <v>174</v>
      </c>
      <c r="J254" t="s">
        <v>175</v>
      </c>
      <c r="K254" t="s">
        <v>930</v>
      </c>
      <c r="L254" t="s">
        <v>930</v>
      </c>
      <c r="M254" t="s">
        <v>176</v>
      </c>
      <c r="N254" t="s">
        <v>43</v>
      </c>
      <c r="O254" t="s">
        <v>24</v>
      </c>
      <c r="P254" t="s">
        <v>25</v>
      </c>
      <c r="Q254">
        <v>1</v>
      </c>
      <c r="R254">
        <v>0</v>
      </c>
      <c r="S254" s="2" t="str">
        <f>IFERROR(VLOOKUP(C254,Sheet2!B:E,4,0),C254)</f>
        <v>优惠产品</v>
      </c>
    </row>
    <row r="255" spans="1:19" x14ac:dyDescent="0.2">
      <c r="A255" t="s">
        <v>1999</v>
      </c>
      <c r="B255">
        <v>1300</v>
      </c>
      <c r="C255" t="s">
        <v>26</v>
      </c>
      <c r="D255" t="s">
        <v>50</v>
      </c>
      <c r="E255" t="s">
        <v>2000</v>
      </c>
      <c r="F255" t="s">
        <v>1608</v>
      </c>
      <c r="G255" s="2" t="s">
        <v>1609</v>
      </c>
      <c r="H255" t="s">
        <v>18</v>
      </c>
      <c r="I255" t="s">
        <v>221</v>
      </c>
      <c r="J255" t="s">
        <v>222</v>
      </c>
      <c r="K255" t="s">
        <v>930</v>
      </c>
      <c r="L255" t="s">
        <v>930</v>
      </c>
      <c r="M255" t="s">
        <v>223</v>
      </c>
      <c r="N255" t="s">
        <v>55</v>
      </c>
      <c r="O255" t="s">
        <v>33</v>
      </c>
      <c r="P255" t="s">
        <v>34</v>
      </c>
      <c r="Q255">
        <v>1</v>
      </c>
      <c r="R255">
        <v>0</v>
      </c>
      <c r="S255" s="2" t="str">
        <f>IFERROR(VLOOKUP(C255,Sheet2!B:E,4,0),C255)</f>
        <v>一般产品</v>
      </c>
    </row>
    <row r="256" spans="1:19" x14ac:dyDescent="0.2">
      <c r="A256" t="s">
        <v>2001</v>
      </c>
      <c r="B256">
        <v>2999</v>
      </c>
      <c r="C256" t="s">
        <v>575</v>
      </c>
      <c r="D256" t="s">
        <v>971</v>
      </c>
      <c r="E256" t="s">
        <v>2002</v>
      </c>
      <c r="F256" t="s">
        <v>2003</v>
      </c>
      <c r="G256" s="2" t="s">
        <v>2004</v>
      </c>
      <c r="H256" t="s">
        <v>18</v>
      </c>
      <c r="I256" t="s">
        <v>151</v>
      </c>
      <c r="J256" t="s">
        <v>152</v>
      </c>
      <c r="K256" t="s">
        <v>930</v>
      </c>
      <c r="L256" t="s">
        <v>930</v>
      </c>
      <c r="M256" t="s">
        <v>153</v>
      </c>
      <c r="N256" t="s">
        <v>61</v>
      </c>
      <c r="O256" t="s">
        <v>129</v>
      </c>
      <c r="P256" t="s">
        <v>25</v>
      </c>
      <c r="Q256">
        <v>1</v>
      </c>
      <c r="R256">
        <v>0</v>
      </c>
      <c r="S256" s="2" t="str">
        <f>IFERROR(VLOOKUP(C256,Sheet2!B:E,4,0),C256)</f>
        <v>优惠产品</v>
      </c>
    </row>
    <row r="257" spans="1:19" x14ac:dyDescent="0.2">
      <c r="A257" t="s">
        <v>2005</v>
      </c>
      <c r="B257">
        <v>3598</v>
      </c>
      <c r="C257" t="s">
        <v>26</v>
      </c>
      <c r="D257" t="s">
        <v>50</v>
      </c>
      <c r="E257" t="s">
        <v>1130</v>
      </c>
      <c r="F257" t="s">
        <v>831</v>
      </c>
      <c r="G257" s="2" t="s">
        <v>832</v>
      </c>
      <c r="H257" t="s">
        <v>18</v>
      </c>
      <c r="I257" t="s">
        <v>81</v>
      </c>
      <c r="J257" t="s">
        <v>1230</v>
      </c>
      <c r="K257" t="s">
        <v>930</v>
      </c>
      <c r="L257" t="s">
        <v>930</v>
      </c>
      <c r="M257" t="s">
        <v>1231</v>
      </c>
      <c r="N257" t="s">
        <v>68</v>
      </c>
      <c r="O257" t="s">
        <v>33</v>
      </c>
      <c r="P257" t="s">
        <v>34</v>
      </c>
      <c r="Q257">
        <v>1</v>
      </c>
      <c r="R257">
        <v>0</v>
      </c>
      <c r="S257" s="2" t="str">
        <f>IFERROR(VLOOKUP(C257,Sheet2!B:E,4,0),C257)</f>
        <v>一般产品</v>
      </c>
    </row>
    <row r="258" spans="1:19" x14ac:dyDescent="0.2">
      <c r="A258" t="s">
        <v>2006</v>
      </c>
      <c r="B258">
        <v>2599</v>
      </c>
      <c r="C258" t="s">
        <v>26</v>
      </c>
      <c r="D258" t="s">
        <v>970</v>
      </c>
      <c r="E258" t="s">
        <v>2007</v>
      </c>
      <c r="F258" t="s">
        <v>583</v>
      </c>
      <c r="G258" s="2" t="s">
        <v>584</v>
      </c>
      <c r="H258" t="s">
        <v>18</v>
      </c>
      <c r="I258" t="s">
        <v>81</v>
      </c>
      <c r="J258" t="s">
        <v>1230</v>
      </c>
      <c r="K258" t="s">
        <v>930</v>
      </c>
      <c r="L258" t="s">
        <v>930</v>
      </c>
      <c r="M258" t="s">
        <v>1231</v>
      </c>
      <c r="N258" t="s">
        <v>68</v>
      </c>
      <c r="O258" t="s">
        <v>33</v>
      </c>
      <c r="P258" t="s">
        <v>34</v>
      </c>
      <c r="Q258">
        <v>1</v>
      </c>
      <c r="R258">
        <v>0</v>
      </c>
      <c r="S258" s="2" t="str">
        <f>IFERROR(VLOOKUP(C258,Sheet2!B:E,4,0),C258)</f>
        <v>一般产品</v>
      </c>
    </row>
    <row r="259" spans="1:19" x14ac:dyDescent="0.2">
      <c r="A259" t="s">
        <v>2008</v>
      </c>
      <c r="B259">
        <v>2399</v>
      </c>
      <c r="C259" t="s">
        <v>26</v>
      </c>
      <c r="D259" t="s">
        <v>970</v>
      </c>
      <c r="E259" t="s">
        <v>2009</v>
      </c>
      <c r="F259" t="s">
        <v>2010</v>
      </c>
      <c r="G259" s="2" t="s">
        <v>2011</v>
      </c>
      <c r="H259" t="s">
        <v>18</v>
      </c>
      <c r="I259" t="s">
        <v>930</v>
      </c>
      <c r="J259" t="s">
        <v>930</v>
      </c>
      <c r="K259" t="s">
        <v>693</v>
      </c>
      <c r="L259" t="s">
        <v>930</v>
      </c>
      <c r="M259" t="s">
        <v>1050</v>
      </c>
      <c r="N259" t="s">
        <v>68</v>
      </c>
      <c r="O259" t="s">
        <v>33</v>
      </c>
      <c r="P259" t="s">
        <v>34</v>
      </c>
      <c r="Q259">
        <v>1</v>
      </c>
      <c r="R259">
        <v>0</v>
      </c>
      <c r="S259" s="2" t="str">
        <f>IFERROR(VLOOKUP(C259,Sheet2!B:E,4,0),C259)</f>
        <v>一般产品</v>
      </c>
    </row>
    <row r="260" spans="1:19" x14ac:dyDescent="0.2">
      <c r="A260" t="s">
        <v>2012</v>
      </c>
      <c r="B260">
        <v>2800</v>
      </c>
      <c r="C260" t="s">
        <v>26</v>
      </c>
      <c r="D260" t="s">
        <v>50</v>
      </c>
      <c r="E260" t="s">
        <v>2013</v>
      </c>
      <c r="F260" t="s">
        <v>1171</v>
      </c>
      <c r="G260" s="2" t="s">
        <v>1172</v>
      </c>
      <c r="H260" t="s">
        <v>18</v>
      </c>
      <c r="I260" t="s">
        <v>121</v>
      </c>
      <c r="J260" t="s">
        <v>122</v>
      </c>
      <c r="K260" t="s">
        <v>930</v>
      </c>
      <c r="L260" t="s">
        <v>930</v>
      </c>
      <c r="M260" t="s">
        <v>123</v>
      </c>
      <c r="N260" t="s">
        <v>55</v>
      </c>
      <c r="O260" t="s">
        <v>33</v>
      </c>
      <c r="P260" t="s">
        <v>34</v>
      </c>
      <c r="Q260">
        <v>1</v>
      </c>
      <c r="R260">
        <v>0</v>
      </c>
      <c r="S260" s="2" t="str">
        <f>IFERROR(VLOOKUP(C260,Sheet2!B:E,4,0),C260)</f>
        <v>一般产品</v>
      </c>
    </row>
    <row r="261" spans="1:19" x14ac:dyDescent="0.2">
      <c r="A261" t="s">
        <v>2014</v>
      </c>
      <c r="B261">
        <v>3000</v>
      </c>
      <c r="C261" t="s">
        <v>26</v>
      </c>
      <c r="D261" t="s">
        <v>970</v>
      </c>
      <c r="E261" t="s">
        <v>210</v>
      </c>
      <c r="F261" t="s">
        <v>967</v>
      </c>
      <c r="G261" s="2" t="s">
        <v>968</v>
      </c>
      <c r="H261" t="s">
        <v>18</v>
      </c>
      <c r="I261" t="s">
        <v>88</v>
      </c>
      <c r="J261" t="s">
        <v>89</v>
      </c>
      <c r="K261" t="s">
        <v>930</v>
      </c>
      <c r="L261" t="s">
        <v>930</v>
      </c>
      <c r="M261" t="s">
        <v>933</v>
      </c>
      <c r="N261" t="s">
        <v>32</v>
      </c>
      <c r="O261" t="s">
        <v>33</v>
      </c>
      <c r="P261" t="s">
        <v>34</v>
      </c>
      <c r="Q261">
        <v>1</v>
      </c>
      <c r="R261">
        <v>0</v>
      </c>
      <c r="S261" s="2" t="str">
        <f>IFERROR(VLOOKUP(C261,Sheet2!B:E,4,0),C261)</f>
        <v>一般产品</v>
      </c>
    </row>
    <row r="262" spans="1:19" x14ac:dyDescent="0.2">
      <c r="A262" t="s">
        <v>2015</v>
      </c>
      <c r="B262">
        <v>3388</v>
      </c>
      <c r="C262" t="s">
        <v>26</v>
      </c>
      <c r="D262" t="s">
        <v>971</v>
      </c>
      <c r="E262" t="s">
        <v>1964</v>
      </c>
      <c r="F262" t="s">
        <v>1672</v>
      </c>
      <c r="G262" s="2" t="s">
        <v>1673</v>
      </c>
      <c r="H262" t="s">
        <v>18</v>
      </c>
      <c r="I262" t="s">
        <v>147</v>
      </c>
      <c r="J262" t="s">
        <v>148</v>
      </c>
      <c r="K262" t="s">
        <v>930</v>
      </c>
      <c r="L262" t="s">
        <v>930</v>
      </c>
      <c r="M262" t="s">
        <v>149</v>
      </c>
      <c r="N262" t="s">
        <v>73</v>
      </c>
      <c r="O262" t="s">
        <v>24</v>
      </c>
      <c r="P262" t="s">
        <v>25</v>
      </c>
      <c r="Q262">
        <v>1</v>
      </c>
      <c r="R262">
        <v>0</v>
      </c>
      <c r="S262" s="2" t="str">
        <f>IFERROR(VLOOKUP(C262,Sheet2!B:E,4,0),C262)</f>
        <v>一般产品</v>
      </c>
    </row>
    <row r="263" spans="1:19" x14ac:dyDescent="0.2">
      <c r="A263" t="s">
        <v>2016</v>
      </c>
      <c r="B263">
        <v>1400</v>
      </c>
      <c r="C263" t="s">
        <v>26</v>
      </c>
      <c r="D263" t="s">
        <v>970</v>
      </c>
      <c r="E263" t="s">
        <v>1255</v>
      </c>
      <c r="F263" t="s">
        <v>1835</v>
      </c>
      <c r="G263" s="2" t="s">
        <v>1836</v>
      </c>
      <c r="H263" t="s">
        <v>18</v>
      </c>
      <c r="I263" t="s">
        <v>473</v>
      </c>
      <c r="J263" t="s">
        <v>474</v>
      </c>
      <c r="K263" t="s">
        <v>930</v>
      </c>
      <c r="L263" t="s">
        <v>930</v>
      </c>
      <c r="M263" t="s">
        <v>475</v>
      </c>
      <c r="N263" t="s">
        <v>47</v>
      </c>
      <c r="O263" t="s">
        <v>33</v>
      </c>
      <c r="P263" t="s">
        <v>34</v>
      </c>
      <c r="Q263">
        <v>1</v>
      </c>
      <c r="R263">
        <v>0</v>
      </c>
      <c r="S263" s="2" t="str">
        <f>IFERROR(VLOOKUP(C263,Sheet2!B:E,4,0),C263)</f>
        <v>一般产品</v>
      </c>
    </row>
    <row r="264" spans="1:19" x14ac:dyDescent="0.2">
      <c r="A264" t="s">
        <v>2017</v>
      </c>
      <c r="B264">
        <v>2500</v>
      </c>
      <c r="C264" t="s">
        <v>26</v>
      </c>
      <c r="D264" t="s">
        <v>972</v>
      </c>
      <c r="E264" t="s">
        <v>1630</v>
      </c>
      <c r="F264" t="s">
        <v>819</v>
      </c>
      <c r="G264" s="2" t="s">
        <v>820</v>
      </c>
      <c r="H264" t="s">
        <v>18</v>
      </c>
      <c r="I264" t="s">
        <v>930</v>
      </c>
      <c r="J264" t="s">
        <v>930</v>
      </c>
      <c r="K264" t="s">
        <v>163</v>
      </c>
      <c r="L264" t="s">
        <v>930</v>
      </c>
      <c r="M264" t="s">
        <v>931</v>
      </c>
      <c r="N264" t="s">
        <v>68</v>
      </c>
      <c r="O264" t="s">
        <v>33</v>
      </c>
      <c r="P264" t="s">
        <v>34</v>
      </c>
      <c r="Q264">
        <v>1</v>
      </c>
      <c r="R264">
        <v>0</v>
      </c>
      <c r="S264" s="2" t="str">
        <f>IFERROR(VLOOKUP(C264,Sheet2!B:E,4,0),C264)</f>
        <v>一般产品</v>
      </c>
    </row>
    <row r="265" spans="1:19" x14ac:dyDescent="0.2">
      <c r="A265" t="s">
        <v>2018</v>
      </c>
      <c r="B265">
        <v>3298</v>
      </c>
      <c r="C265" t="s">
        <v>26</v>
      </c>
      <c r="D265" t="s">
        <v>970</v>
      </c>
      <c r="E265" t="s">
        <v>2019</v>
      </c>
      <c r="F265" t="s">
        <v>2020</v>
      </c>
      <c r="G265" s="2" t="s">
        <v>2021</v>
      </c>
      <c r="H265" t="s">
        <v>18</v>
      </c>
      <c r="I265" t="s">
        <v>388</v>
      </c>
      <c r="J265" t="s">
        <v>389</v>
      </c>
      <c r="K265" t="s">
        <v>930</v>
      </c>
      <c r="L265" t="s">
        <v>930</v>
      </c>
      <c r="M265" t="s">
        <v>390</v>
      </c>
      <c r="N265" t="s">
        <v>51</v>
      </c>
      <c r="O265" t="s">
        <v>33</v>
      </c>
      <c r="P265" t="s">
        <v>34</v>
      </c>
      <c r="Q265">
        <v>1</v>
      </c>
      <c r="R265">
        <v>0</v>
      </c>
      <c r="S265" s="2" t="str">
        <f>IFERROR(VLOOKUP(C265,Sheet2!B:E,4,0),C265)</f>
        <v>一般产品</v>
      </c>
    </row>
    <row r="266" spans="1:19" x14ac:dyDescent="0.2">
      <c r="A266" t="s">
        <v>2022</v>
      </c>
      <c r="B266">
        <v>3200</v>
      </c>
      <c r="C266" t="s">
        <v>26</v>
      </c>
      <c r="D266" t="s">
        <v>50</v>
      </c>
      <c r="E266" t="s">
        <v>2023</v>
      </c>
      <c r="F266" t="s">
        <v>2024</v>
      </c>
      <c r="G266" s="2" t="s">
        <v>2025</v>
      </c>
      <c r="H266" t="s">
        <v>18</v>
      </c>
      <c r="I266" t="s">
        <v>930</v>
      </c>
      <c r="J266" t="s">
        <v>930</v>
      </c>
      <c r="K266" t="s">
        <v>106</v>
      </c>
      <c r="L266" t="s">
        <v>930</v>
      </c>
      <c r="M266" t="s">
        <v>1456</v>
      </c>
      <c r="N266" t="s">
        <v>108</v>
      </c>
      <c r="O266" t="s">
        <v>33</v>
      </c>
      <c r="P266" t="s">
        <v>34</v>
      </c>
      <c r="Q266">
        <v>1</v>
      </c>
      <c r="R266">
        <v>0</v>
      </c>
      <c r="S266" s="2" t="str">
        <f>IFERROR(VLOOKUP(C266,Sheet2!B:E,4,0),C266)</f>
        <v>一般产品</v>
      </c>
    </row>
    <row r="267" spans="1:19" x14ac:dyDescent="0.2">
      <c r="A267" t="s">
        <v>2026</v>
      </c>
      <c r="B267">
        <v>3001</v>
      </c>
      <c r="C267" t="s">
        <v>26</v>
      </c>
      <c r="D267" t="s">
        <v>970</v>
      </c>
      <c r="E267" t="s">
        <v>2027</v>
      </c>
      <c r="F267" t="s">
        <v>1363</v>
      </c>
      <c r="G267" s="2" t="s">
        <v>1364</v>
      </c>
      <c r="H267" t="s">
        <v>18</v>
      </c>
      <c r="I267" t="s">
        <v>930</v>
      </c>
      <c r="J267" t="s">
        <v>930</v>
      </c>
      <c r="K267" t="s">
        <v>842</v>
      </c>
      <c r="L267" t="s">
        <v>930</v>
      </c>
      <c r="M267" t="s">
        <v>932</v>
      </c>
      <c r="N267" t="s">
        <v>85</v>
      </c>
      <c r="O267" t="s">
        <v>33</v>
      </c>
      <c r="P267" t="s">
        <v>34</v>
      </c>
      <c r="Q267">
        <v>1</v>
      </c>
      <c r="R267">
        <v>0</v>
      </c>
      <c r="S267" s="2" t="str">
        <f>IFERROR(VLOOKUP(C267,Sheet2!B:E,4,0),C267)</f>
        <v>一般产品</v>
      </c>
    </row>
    <row r="268" spans="1:19" x14ac:dyDescent="0.2">
      <c r="A268" t="s">
        <v>2028</v>
      </c>
      <c r="B268">
        <v>2598</v>
      </c>
      <c r="C268" t="s">
        <v>642</v>
      </c>
      <c r="D268" t="s">
        <v>970</v>
      </c>
      <c r="E268" t="s">
        <v>2029</v>
      </c>
      <c r="F268" t="s">
        <v>945</v>
      </c>
      <c r="G268" s="2" t="s">
        <v>946</v>
      </c>
      <c r="H268" t="s">
        <v>18</v>
      </c>
      <c r="I268" t="s">
        <v>307</v>
      </c>
      <c r="J268" t="s">
        <v>308</v>
      </c>
      <c r="K268" t="s">
        <v>930</v>
      </c>
      <c r="L268" t="s">
        <v>930</v>
      </c>
      <c r="M268" t="s">
        <v>309</v>
      </c>
      <c r="N268" t="s">
        <v>94</v>
      </c>
      <c r="O268" t="s">
        <v>95</v>
      </c>
      <c r="P268" t="s">
        <v>90</v>
      </c>
      <c r="Q268">
        <v>1</v>
      </c>
      <c r="R268">
        <v>0</v>
      </c>
      <c r="S268" s="2" t="str">
        <f>IFERROR(VLOOKUP(C268,Sheet2!B:E,4,0),C268)</f>
        <v>优惠购</v>
      </c>
    </row>
    <row r="269" spans="1:19" x14ac:dyDescent="0.2">
      <c r="A269" t="s">
        <v>2030</v>
      </c>
      <c r="B269">
        <v>1998</v>
      </c>
      <c r="C269" t="s">
        <v>26</v>
      </c>
      <c r="D269" t="s">
        <v>972</v>
      </c>
      <c r="E269" t="s">
        <v>672</v>
      </c>
      <c r="F269" t="s">
        <v>673</v>
      </c>
      <c r="G269" s="2" t="s">
        <v>674</v>
      </c>
      <c r="H269" t="s">
        <v>18</v>
      </c>
      <c r="I269" t="s">
        <v>930</v>
      </c>
      <c r="J269" t="s">
        <v>930</v>
      </c>
      <c r="K269" t="s">
        <v>463</v>
      </c>
      <c r="L269" t="s">
        <v>930</v>
      </c>
      <c r="M269" t="s">
        <v>464</v>
      </c>
      <c r="N269" t="s">
        <v>60</v>
      </c>
      <c r="O269" t="s">
        <v>72</v>
      </c>
      <c r="P269" t="s">
        <v>34</v>
      </c>
      <c r="Q269">
        <v>1</v>
      </c>
      <c r="R269">
        <v>0</v>
      </c>
      <c r="S269" s="2" t="str">
        <f>IFERROR(VLOOKUP(C269,Sheet2!B:E,4,0),C269)</f>
        <v>一般产品</v>
      </c>
    </row>
    <row r="270" spans="1:19" x14ac:dyDescent="0.2">
      <c r="A270" t="s">
        <v>2031</v>
      </c>
      <c r="B270">
        <v>3000</v>
      </c>
      <c r="C270" t="s">
        <v>26</v>
      </c>
      <c r="D270" t="s">
        <v>972</v>
      </c>
      <c r="E270" t="s">
        <v>1425</v>
      </c>
      <c r="F270" t="s">
        <v>1285</v>
      </c>
      <c r="G270" s="2" t="s">
        <v>1286</v>
      </c>
      <c r="H270" t="s">
        <v>18</v>
      </c>
      <c r="I270" t="s">
        <v>167</v>
      </c>
      <c r="J270" t="s">
        <v>168</v>
      </c>
      <c r="K270" t="s">
        <v>930</v>
      </c>
      <c r="L270" t="s">
        <v>930</v>
      </c>
      <c r="M270" t="s">
        <v>937</v>
      </c>
      <c r="N270" t="s">
        <v>68</v>
      </c>
      <c r="O270" t="s">
        <v>33</v>
      </c>
      <c r="P270" t="s">
        <v>34</v>
      </c>
      <c r="Q270">
        <v>1</v>
      </c>
      <c r="R270">
        <v>0</v>
      </c>
      <c r="S270" s="2" t="str">
        <f>IFERROR(VLOOKUP(C270,Sheet2!B:E,4,0),C270)</f>
        <v>一般产品</v>
      </c>
    </row>
    <row r="271" spans="1:19" x14ac:dyDescent="0.2">
      <c r="A271" t="s">
        <v>2032</v>
      </c>
      <c r="B271">
        <v>1800</v>
      </c>
      <c r="C271" t="s">
        <v>26</v>
      </c>
      <c r="D271" t="s">
        <v>970</v>
      </c>
      <c r="E271" t="s">
        <v>1582</v>
      </c>
      <c r="F271" t="s">
        <v>590</v>
      </c>
      <c r="G271" s="2" t="s">
        <v>591</v>
      </c>
      <c r="H271" t="s">
        <v>18</v>
      </c>
      <c r="I271" t="s">
        <v>930</v>
      </c>
      <c r="J271" t="s">
        <v>930</v>
      </c>
      <c r="K271" t="s">
        <v>842</v>
      </c>
      <c r="L271" t="s">
        <v>930</v>
      </c>
      <c r="M271" t="s">
        <v>932</v>
      </c>
      <c r="N271" t="s">
        <v>85</v>
      </c>
      <c r="O271" t="s">
        <v>33</v>
      </c>
      <c r="P271" t="s">
        <v>34</v>
      </c>
      <c r="Q271">
        <v>1</v>
      </c>
      <c r="R271">
        <v>0</v>
      </c>
      <c r="S271" s="2" t="str">
        <f>IFERROR(VLOOKUP(C271,Sheet2!B:E,4,0),C271)</f>
        <v>一般产品</v>
      </c>
    </row>
    <row r="272" spans="1:19" x14ac:dyDescent="0.2">
      <c r="A272" t="s">
        <v>2033</v>
      </c>
      <c r="B272">
        <v>3980</v>
      </c>
      <c r="C272" t="s">
        <v>575</v>
      </c>
      <c r="D272" t="s">
        <v>971</v>
      </c>
      <c r="E272" t="s">
        <v>2034</v>
      </c>
      <c r="F272" t="s">
        <v>2035</v>
      </c>
      <c r="G272" s="2" t="s">
        <v>2036</v>
      </c>
      <c r="H272" t="s">
        <v>18</v>
      </c>
      <c r="I272" t="s">
        <v>151</v>
      </c>
      <c r="J272" t="s">
        <v>152</v>
      </c>
      <c r="K272" t="s">
        <v>930</v>
      </c>
      <c r="L272" t="s">
        <v>930</v>
      </c>
      <c r="M272" t="s">
        <v>153</v>
      </c>
      <c r="N272" t="s">
        <v>61</v>
      </c>
      <c r="O272" t="s">
        <v>129</v>
      </c>
      <c r="P272" t="s">
        <v>25</v>
      </c>
      <c r="Q272">
        <v>1</v>
      </c>
      <c r="R272">
        <v>0</v>
      </c>
      <c r="S272" s="2" t="str">
        <f>IFERROR(VLOOKUP(C272,Sheet2!B:E,4,0),C272)</f>
        <v>优惠产品</v>
      </c>
    </row>
    <row r="273" spans="1:19" x14ac:dyDescent="0.2">
      <c r="A273" t="s">
        <v>2037</v>
      </c>
      <c r="B273">
        <v>2600</v>
      </c>
      <c r="C273" t="s">
        <v>589</v>
      </c>
      <c r="D273" t="s">
        <v>970</v>
      </c>
      <c r="E273" t="s">
        <v>2038</v>
      </c>
      <c r="F273" t="s">
        <v>1354</v>
      </c>
      <c r="G273" s="2" t="s">
        <v>1355</v>
      </c>
      <c r="H273" t="s">
        <v>18</v>
      </c>
      <c r="I273" t="s">
        <v>490</v>
      </c>
      <c r="J273" t="s">
        <v>491</v>
      </c>
      <c r="K273" t="s">
        <v>930</v>
      </c>
      <c r="L273" t="s">
        <v>930</v>
      </c>
      <c r="M273" t="s">
        <v>492</v>
      </c>
      <c r="N273" t="s">
        <v>146</v>
      </c>
      <c r="O273" t="s">
        <v>33</v>
      </c>
      <c r="P273" t="s">
        <v>34</v>
      </c>
      <c r="Q273">
        <v>1</v>
      </c>
      <c r="R273">
        <v>0</v>
      </c>
      <c r="S273" s="2" t="str">
        <f>IFERROR(VLOOKUP(C273,Sheet2!B:E,4,0),C273)</f>
        <v>优惠产品</v>
      </c>
    </row>
    <row r="274" spans="1:19" x14ac:dyDescent="0.2">
      <c r="A274" t="s">
        <v>2039</v>
      </c>
      <c r="B274">
        <v>1999</v>
      </c>
      <c r="C274" t="s">
        <v>26</v>
      </c>
      <c r="D274" t="s">
        <v>971</v>
      </c>
      <c r="E274" t="s">
        <v>2040</v>
      </c>
      <c r="F274" t="s">
        <v>2041</v>
      </c>
      <c r="G274" s="2" t="s">
        <v>2042</v>
      </c>
      <c r="H274" t="s">
        <v>18</v>
      </c>
      <c r="I274" t="s">
        <v>147</v>
      </c>
      <c r="J274" t="s">
        <v>148</v>
      </c>
      <c r="K274" t="s">
        <v>930</v>
      </c>
      <c r="L274" t="s">
        <v>930</v>
      </c>
      <c r="M274" t="s">
        <v>149</v>
      </c>
      <c r="N274" t="s">
        <v>73</v>
      </c>
      <c r="O274" t="s">
        <v>24</v>
      </c>
      <c r="P274" t="s">
        <v>25</v>
      </c>
      <c r="Q274">
        <v>1</v>
      </c>
      <c r="R274">
        <v>0</v>
      </c>
      <c r="S274" s="2" t="str">
        <f>IFERROR(VLOOKUP(C274,Sheet2!B:E,4,0),C274)</f>
        <v>一般产品</v>
      </c>
    </row>
    <row r="275" spans="1:19" x14ac:dyDescent="0.2">
      <c r="A275" t="s">
        <v>2043</v>
      </c>
      <c r="B275">
        <v>1599</v>
      </c>
      <c r="C275" t="s">
        <v>589</v>
      </c>
      <c r="D275" t="s">
        <v>972</v>
      </c>
      <c r="E275" t="s">
        <v>2044</v>
      </c>
      <c r="F275" t="s">
        <v>992</v>
      </c>
      <c r="G275" s="2" t="s">
        <v>993</v>
      </c>
      <c r="H275" t="s">
        <v>18</v>
      </c>
      <c r="I275" t="s">
        <v>76</v>
      </c>
      <c r="J275" t="s">
        <v>77</v>
      </c>
      <c r="K275" t="s">
        <v>930</v>
      </c>
      <c r="L275" t="s">
        <v>930</v>
      </c>
      <c r="M275" t="s">
        <v>78</v>
      </c>
      <c r="N275" t="s">
        <v>44</v>
      </c>
      <c r="O275" t="s">
        <v>24</v>
      </c>
      <c r="P275" t="s">
        <v>25</v>
      </c>
      <c r="Q275">
        <v>1</v>
      </c>
      <c r="R275">
        <v>0</v>
      </c>
      <c r="S275" s="2" t="str">
        <f>IFERROR(VLOOKUP(C275,Sheet2!B:E,4,0),C275)</f>
        <v>优惠产品</v>
      </c>
    </row>
    <row r="276" spans="1:19" x14ac:dyDescent="0.2">
      <c r="A276" t="s">
        <v>2045</v>
      </c>
      <c r="B276">
        <v>3000</v>
      </c>
      <c r="C276" t="s">
        <v>589</v>
      </c>
      <c r="D276" t="s">
        <v>970</v>
      </c>
      <c r="E276" t="s">
        <v>522</v>
      </c>
      <c r="F276" t="s">
        <v>2046</v>
      </c>
      <c r="G276" s="2" t="s">
        <v>2047</v>
      </c>
      <c r="H276" t="s">
        <v>18</v>
      </c>
      <c r="I276" t="s">
        <v>930</v>
      </c>
      <c r="J276" t="s">
        <v>930</v>
      </c>
      <c r="K276" t="s">
        <v>611</v>
      </c>
      <c r="L276" t="s">
        <v>930</v>
      </c>
      <c r="M276" t="s">
        <v>1045</v>
      </c>
      <c r="N276" t="s">
        <v>146</v>
      </c>
      <c r="O276" t="s">
        <v>33</v>
      </c>
      <c r="P276" t="s">
        <v>34</v>
      </c>
      <c r="Q276">
        <v>1</v>
      </c>
      <c r="R276">
        <v>0</v>
      </c>
      <c r="S276" s="2" t="str">
        <f>IFERROR(VLOOKUP(C276,Sheet2!B:E,4,0),C276)</f>
        <v>优惠产品</v>
      </c>
    </row>
    <row r="277" spans="1:19" x14ac:dyDescent="0.2">
      <c r="A277" t="s">
        <v>2048</v>
      </c>
      <c r="B277">
        <v>3200</v>
      </c>
      <c r="C277" t="s">
        <v>26</v>
      </c>
      <c r="D277" t="s">
        <v>972</v>
      </c>
      <c r="E277" t="s">
        <v>823</v>
      </c>
      <c r="F277" t="s">
        <v>2049</v>
      </c>
      <c r="G277" s="2" t="s">
        <v>2050</v>
      </c>
      <c r="H277" t="s">
        <v>28</v>
      </c>
      <c r="I277" t="s">
        <v>930</v>
      </c>
      <c r="J277" t="s">
        <v>930</v>
      </c>
      <c r="K277" t="s">
        <v>930</v>
      </c>
      <c r="L277" t="s">
        <v>930</v>
      </c>
      <c r="M277" t="s">
        <v>45</v>
      </c>
      <c r="N277" t="s">
        <v>61</v>
      </c>
      <c r="O277" t="s">
        <v>64</v>
      </c>
      <c r="P277" t="s">
        <v>34</v>
      </c>
      <c r="Q277">
        <v>1</v>
      </c>
      <c r="R277">
        <v>0</v>
      </c>
      <c r="S277" s="2" t="str">
        <f>IFERROR(VLOOKUP(C277,Sheet2!B:E,4,0),C277)</f>
        <v>一般产品</v>
      </c>
    </row>
    <row r="278" spans="1:19" x14ac:dyDescent="0.2">
      <c r="A278" t="s">
        <v>2051</v>
      </c>
      <c r="B278">
        <v>1400</v>
      </c>
      <c r="C278" t="s">
        <v>26</v>
      </c>
      <c r="D278" t="s">
        <v>970</v>
      </c>
      <c r="E278" t="s">
        <v>768</v>
      </c>
      <c r="F278" t="s">
        <v>1300</v>
      </c>
      <c r="G278" s="2" t="s">
        <v>1301</v>
      </c>
      <c r="H278" t="s">
        <v>18</v>
      </c>
      <c r="I278" t="s">
        <v>121</v>
      </c>
      <c r="J278" t="s">
        <v>122</v>
      </c>
      <c r="K278" t="s">
        <v>930</v>
      </c>
      <c r="L278" t="s">
        <v>930</v>
      </c>
      <c r="M278" t="s">
        <v>123</v>
      </c>
      <c r="N278" t="s">
        <v>55</v>
      </c>
      <c r="O278" t="s">
        <v>33</v>
      </c>
      <c r="P278" t="s">
        <v>34</v>
      </c>
      <c r="Q278">
        <v>1</v>
      </c>
      <c r="R278">
        <v>0</v>
      </c>
      <c r="S278" s="2" t="str">
        <f>IFERROR(VLOOKUP(C278,Sheet2!B:E,4,0),C278)</f>
        <v>一般产品</v>
      </c>
    </row>
    <row r="279" spans="1:19" x14ac:dyDescent="0.2">
      <c r="A279" t="s">
        <v>2052</v>
      </c>
      <c r="B279">
        <v>3000</v>
      </c>
      <c r="C279" t="s">
        <v>26</v>
      </c>
      <c r="D279" t="s">
        <v>50</v>
      </c>
      <c r="E279" t="s">
        <v>2053</v>
      </c>
      <c r="F279" t="s">
        <v>314</v>
      </c>
      <c r="G279" s="2" t="s">
        <v>315</v>
      </c>
      <c r="H279" t="s">
        <v>18</v>
      </c>
      <c r="I279" t="s">
        <v>930</v>
      </c>
      <c r="J279" t="s">
        <v>930</v>
      </c>
      <c r="K279" t="s">
        <v>106</v>
      </c>
      <c r="L279" t="s">
        <v>930</v>
      </c>
      <c r="M279" t="s">
        <v>1456</v>
      </c>
      <c r="N279" t="s">
        <v>108</v>
      </c>
      <c r="O279" t="s">
        <v>33</v>
      </c>
      <c r="P279" t="s">
        <v>34</v>
      </c>
      <c r="Q279">
        <v>1</v>
      </c>
      <c r="R279">
        <v>0</v>
      </c>
      <c r="S279" s="2" t="str">
        <f>IFERROR(VLOOKUP(C279,Sheet2!B:E,4,0),C279)</f>
        <v>一般产品</v>
      </c>
    </row>
    <row r="280" spans="1:19" x14ac:dyDescent="0.2">
      <c r="A280" t="s">
        <v>2054</v>
      </c>
      <c r="B280">
        <v>3999</v>
      </c>
      <c r="C280" t="s">
        <v>26</v>
      </c>
      <c r="D280" t="s">
        <v>971</v>
      </c>
      <c r="E280" t="s">
        <v>1787</v>
      </c>
      <c r="F280" t="s">
        <v>361</v>
      </c>
      <c r="G280" s="2" t="s">
        <v>362</v>
      </c>
      <c r="H280" t="s">
        <v>18</v>
      </c>
      <c r="I280" t="s">
        <v>260</v>
      </c>
      <c r="J280" t="s">
        <v>261</v>
      </c>
      <c r="K280" t="s">
        <v>930</v>
      </c>
      <c r="L280" t="s">
        <v>930</v>
      </c>
      <c r="M280" t="s">
        <v>262</v>
      </c>
      <c r="N280" t="s">
        <v>45</v>
      </c>
      <c r="O280" t="s">
        <v>48</v>
      </c>
      <c r="P280" t="s">
        <v>49</v>
      </c>
      <c r="Q280">
        <v>1</v>
      </c>
      <c r="R280">
        <v>0</v>
      </c>
      <c r="S280" s="2" t="str">
        <f>IFERROR(VLOOKUP(C280,Sheet2!B:E,4,0),C280)</f>
        <v>一般产品</v>
      </c>
    </row>
    <row r="281" spans="1:19" x14ac:dyDescent="0.2">
      <c r="A281" t="s">
        <v>2055</v>
      </c>
      <c r="B281">
        <v>3100</v>
      </c>
      <c r="C281" t="s">
        <v>26</v>
      </c>
      <c r="D281" t="s">
        <v>50</v>
      </c>
      <c r="E281" t="s">
        <v>1445</v>
      </c>
      <c r="F281" t="s">
        <v>1092</v>
      </c>
      <c r="G281" s="2" t="s">
        <v>1093</v>
      </c>
      <c r="H281" t="s">
        <v>18</v>
      </c>
      <c r="I281" t="s">
        <v>930</v>
      </c>
      <c r="J281" t="s">
        <v>930</v>
      </c>
      <c r="K281" t="s">
        <v>548</v>
      </c>
      <c r="L281" t="s">
        <v>930</v>
      </c>
      <c r="M281" t="s">
        <v>549</v>
      </c>
      <c r="N281" t="s">
        <v>32</v>
      </c>
      <c r="O281" t="s">
        <v>33</v>
      </c>
      <c r="P281" t="s">
        <v>34</v>
      </c>
      <c r="Q281">
        <v>1</v>
      </c>
      <c r="R281">
        <v>0</v>
      </c>
      <c r="S281" s="2" t="str">
        <f>IFERROR(VLOOKUP(C281,Sheet2!B:E,4,0),C281)</f>
        <v>一般产品</v>
      </c>
    </row>
    <row r="282" spans="1:19" x14ac:dyDescent="0.2">
      <c r="A282" t="s">
        <v>2056</v>
      </c>
      <c r="B282">
        <v>1501</v>
      </c>
      <c r="C282" t="s">
        <v>26</v>
      </c>
      <c r="D282" t="s">
        <v>50</v>
      </c>
      <c r="E282" t="s">
        <v>1044</v>
      </c>
      <c r="F282" t="s">
        <v>997</v>
      </c>
      <c r="G282" s="2" t="s">
        <v>998</v>
      </c>
      <c r="H282" t="s">
        <v>18</v>
      </c>
      <c r="I282" t="s">
        <v>404</v>
      </c>
      <c r="J282" t="s">
        <v>405</v>
      </c>
      <c r="K282" t="s">
        <v>930</v>
      </c>
      <c r="L282" t="s">
        <v>930</v>
      </c>
      <c r="M282" t="s">
        <v>406</v>
      </c>
      <c r="N282" t="s">
        <v>55</v>
      </c>
      <c r="O282" t="s">
        <v>33</v>
      </c>
      <c r="P282" t="s">
        <v>34</v>
      </c>
      <c r="Q282">
        <v>1</v>
      </c>
      <c r="R282">
        <v>0</v>
      </c>
      <c r="S282" s="2" t="str">
        <f>IFERROR(VLOOKUP(C282,Sheet2!B:E,4,0),C282)</f>
        <v>一般产品</v>
      </c>
    </row>
    <row r="283" spans="1:19" x14ac:dyDescent="0.2">
      <c r="A283" t="s">
        <v>2057</v>
      </c>
      <c r="B283">
        <v>3200</v>
      </c>
      <c r="C283" t="s">
        <v>26</v>
      </c>
      <c r="D283" t="s">
        <v>50</v>
      </c>
      <c r="E283" t="s">
        <v>991</v>
      </c>
      <c r="F283" t="s">
        <v>2058</v>
      </c>
      <c r="G283" s="2" t="s">
        <v>2059</v>
      </c>
      <c r="H283" t="s">
        <v>18</v>
      </c>
      <c r="I283" t="s">
        <v>97</v>
      </c>
      <c r="J283" t="s">
        <v>98</v>
      </c>
      <c r="K283" t="s">
        <v>930</v>
      </c>
      <c r="L283" t="s">
        <v>930</v>
      </c>
      <c r="M283" t="s">
        <v>99</v>
      </c>
      <c r="N283" t="s">
        <v>55</v>
      </c>
      <c r="O283" t="s">
        <v>33</v>
      </c>
      <c r="P283" t="s">
        <v>34</v>
      </c>
      <c r="Q283">
        <v>1</v>
      </c>
      <c r="R283">
        <v>0</v>
      </c>
      <c r="S283" s="2" t="str">
        <f>IFERROR(VLOOKUP(C283,Sheet2!B:E,4,0),C283)</f>
        <v>一般产品</v>
      </c>
    </row>
    <row r="284" spans="1:19" x14ac:dyDescent="0.2">
      <c r="A284" t="s">
        <v>2060</v>
      </c>
      <c r="B284">
        <v>1500</v>
      </c>
      <c r="C284" t="s">
        <v>26</v>
      </c>
      <c r="D284" t="s">
        <v>50</v>
      </c>
      <c r="E284" t="s">
        <v>595</v>
      </c>
      <c r="F284" t="s">
        <v>1039</v>
      </c>
      <c r="G284" s="2" t="s">
        <v>1040</v>
      </c>
      <c r="H284" t="s">
        <v>18</v>
      </c>
      <c r="I284" t="s">
        <v>97</v>
      </c>
      <c r="J284" t="s">
        <v>98</v>
      </c>
      <c r="K284" t="s">
        <v>930</v>
      </c>
      <c r="L284" t="s">
        <v>930</v>
      </c>
      <c r="M284" t="s">
        <v>99</v>
      </c>
      <c r="N284" t="s">
        <v>55</v>
      </c>
      <c r="O284" t="s">
        <v>33</v>
      </c>
      <c r="P284" t="s">
        <v>34</v>
      </c>
      <c r="Q284">
        <v>1</v>
      </c>
      <c r="R284">
        <v>0</v>
      </c>
      <c r="S284" s="2" t="str">
        <f>IFERROR(VLOOKUP(C284,Sheet2!B:E,4,0),C284)</f>
        <v>一般产品</v>
      </c>
    </row>
    <row r="285" spans="1:19" x14ac:dyDescent="0.2">
      <c r="A285" t="s">
        <v>2061</v>
      </c>
      <c r="B285">
        <v>1598</v>
      </c>
      <c r="C285" t="s">
        <v>575</v>
      </c>
      <c r="D285" t="s">
        <v>50</v>
      </c>
      <c r="E285" t="s">
        <v>2062</v>
      </c>
      <c r="F285" t="s">
        <v>1404</v>
      </c>
      <c r="G285" s="2" t="s">
        <v>1405</v>
      </c>
      <c r="H285" t="s">
        <v>28</v>
      </c>
      <c r="I285" t="s">
        <v>343</v>
      </c>
      <c r="J285" t="s">
        <v>344</v>
      </c>
      <c r="K285" t="s">
        <v>930</v>
      </c>
      <c r="L285" t="s">
        <v>930</v>
      </c>
      <c r="M285" t="s">
        <v>345</v>
      </c>
      <c r="N285" t="s">
        <v>114</v>
      </c>
      <c r="O285" t="s">
        <v>24</v>
      </c>
      <c r="P285" t="s">
        <v>25</v>
      </c>
      <c r="Q285">
        <v>1</v>
      </c>
      <c r="R285">
        <v>0</v>
      </c>
      <c r="S285" s="2" t="str">
        <f>IFERROR(VLOOKUP(C285,Sheet2!B:E,4,0),C285)</f>
        <v>优惠产品</v>
      </c>
    </row>
    <row r="286" spans="1:19" x14ac:dyDescent="0.2">
      <c r="A286" t="s">
        <v>2063</v>
      </c>
      <c r="B286">
        <v>5999</v>
      </c>
      <c r="C286" t="s">
        <v>589</v>
      </c>
      <c r="D286" t="s">
        <v>972</v>
      </c>
      <c r="E286" t="s">
        <v>2064</v>
      </c>
      <c r="F286" t="s">
        <v>476</v>
      </c>
      <c r="G286" s="2" t="s">
        <v>477</v>
      </c>
      <c r="H286" t="s">
        <v>18</v>
      </c>
      <c r="I286" t="s">
        <v>227</v>
      </c>
      <c r="J286" t="s">
        <v>228</v>
      </c>
      <c r="K286" t="s">
        <v>930</v>
      </c>
      <c r="L286" t="s">
        <v>930</v>
      </c>
      <c r="M286" t="s">
        <v>229</v>
      </c>
      <c r="N286" t="s">
        <v>194</v>
      </c>
      <c r="O286" t="s">
        <v>24</v>
      </c>
      <c r="P286" t="s">
        <v>25</v>
      </c>
      <c r="Q286">
        <v>1</v>
      </c>
      <c r="R286">
        <v>0</v>
      </c>
      <c r="S286" s="2" t="str">
        <f>IFERROR(VLOOKUP(C286,Sheet2!B:E,4,0),C286)</f>
        <v>优惠产品</v>
      </c>
    </row>
    <row r="287" spans="1:19" x14ac:dyDescent="0.2">
      <c r="A287" t="s">
        <v>2065</v>
      </c>
      <c r="B287">
        <v>2000</v>
      </c>
      <c r="C287" t="s">
        <v>26</v>
      </c>
      <c r="D287" t="s">
        <v>50</v>
      </c>
      <c r="E287" t="s">
        <v>2066</v>
      </c>
      <c r="F287" t="s">
        <v>219</v>
      </c>
      <c r="G287" s="2" t="s">
        <v>220</v>
      </c>
      <c r="H287" t="s">
        <v>28</v>
      </c>
      <c r="I287" t="s">
        <v>198</v>
      </c>
      <c r="J287" t="s">
        <v>199</v>
      </c>
      <c r="K287" t="s">
        <v>930</v>
      </c>
      <c r="L287" t="s">
        <v>930</v>
      </c>
      <c r="M287" t="s">
        <v>1048</v>
      </c>
      <c r="N287" t="s">
        <v>108</v>
      </c>
      <c r="O287" t="s">
        <v>33</v>
      </c>
      <c r="P287" t="s">
        <v>34</v>
      </c>
      <c r="Q287">
        <v>1</v>
      </c>
      <c r="R287">
        <v>0</v>
      </c>
      <c r="S287" s="2" t="str">
        <f>IFERROR(VLOOKUP(C287,Sheet2!B:E,4,0),C287)</f>
        <v>一般产品</v>
      </c>
    </row>
    <row r="288" spans="1:19" x14ac:dyDescent="0.2">
      <c r="A288" t="s">
        <v>2067</v>
      </c>
      <c r="B288">
        <v>2999</v>
      </c>
      <c r="C288" t="s">
        <v>26</v>
      </c>
      <c r="D288" t="s">
        <v>50</v>
      </c>
      <c r="E288" t="s">
        <v>2068</v>
      </c>
      <c r="F288" t="s">
        <v>1423</v>
      </c>
      <c r="G288" s="2" t="s">
        <v>1424</v>
      </c>
      <c r="H288" t="s">
        <v>18</v>
      </c>
      <c r="I288" t="s">
        <v>269</v>
      </c>
      <c r="J288" t="s">
        <v>270</v>
      </c>
      <c r="K288" t="s">
        <v>930</v>
      </c>
      <c r="L288" t="s">
        <v>930</v>
      </c>
      <c r="M288" t="s">
        <v>271</v>
      </c>
      <c r="N288" t="s">
        <v>47</v>
      </c>
      <c r="O288" t="s">
        <v>33</v>
      </c>
      <c r="P288" t="s">
        <v>34</v>
      </c>
      <c r="Q288">
        <v>1</v>
      </c>
      <c r="R288">
        <v>0</v>
      </c>
      <c r="S288" s="2" t="str">
        <f>IFERROR(VLOOKUP(C288,Sheet2!B:E,4,0),C288)</f>
        <v>一般产品</v>
      </c>
    </row>
    <row r="289" spans="1:19" x14ac:dyDescent="0.2">
      <c r="A289" t="s">
        <v>2069</v>
      </c>
      <c r="B289">
        <v>3099</v>
      </c>
      <c r="C289" t="s">
        <v>26</v>
      </c>
      <c r="D289" t="s">
        <v>971</v>
      </c>
      <c r="E289" t="s">
        <v>2070</v>
      </c>
      <c r="F289" t="s">
        <v>2071</v>
      </c>
      <c r="G289" s="2" t="s">
        <v>2072</v>
      </c>
      <c r="H289" t="s">
        <v>28</v>
      </c>
      <c r="I289" t="s">
        <v>147</v>
      </c>
      <c r="J289" t="s">
        <v>148</v>
      </c>
      <c r="K289" t="s">
        <v>930</v>
      </c>
      <c r="L289" t="s">
        <v>930</v>
      </c>
      <c r="M289" t="s">
        <v>149</v>
      </c>
      <c r="N289" t="s">
        <v>73</v>
      </c>
      <c r="O289" t="s">
        <v>24</v>
      </c>
      <c r="P289" t="s">
        <v>25</v>
      </c>
      <c r="Q289">
        <v>1</v>
      </c>
      <c r="R289">
        <v>0</v>
      </c>
      <c r="S289" s="2" t="str">
        <f>IFERROR(VLOOKUP(C289,Sheet2!B:E,4,0),C289)</f>
        <v>一般产品</v>
      </c>
    </row>
    <row r="290" spans="1:19" x14ac:dyDescent="0.2">
      <c r="A290" t="s">
        <v>2073</v>
      </c>
      <c r="B290">
        <v>1000</v>
      </c>
      <c r="C290" t="s">
        <v>26</v>
      </c>
      <c r="D290" t="s">
        <v>50</v>
      </c>
      <c r="E290" t="s">
        <v>2074</v>
      </c>
      <c r="F290" t="s">
        <v>1351</v>
      </c>
      <c r="G290" s="2" t="s">
        <v>1352</v>
      </c>
      <c r="H290" t="s">
        <v>28</v>
      </c>
      <c r="I290" t="s">
        <v>97</v>
      </c>
      <c r="J290" t="s">
        <v>98</v>
      </c>
      <c r="K290" t="s">
        <v>930</v>
      </c>
      <c r="L290" t="s">
        <v>930</v>
      </c>
      <c r="M290" t="s">
        <v>99</v>
      </c>
      <c r="N290" t="s">
        <v>55</v>
      </c>
      <c r="O290" t="s">
        <v>33</v>
      </c>
      <c r="P290" t="s">
        <v>34</v>
      </c>
      <c r="Q290">
        <v>1</v>
      </c>
      <c r="R290">
        <v>0</v>
      </c>
      <c r="S290" s="2" t="str">
        <f>IFERROR(VLOOKUP(C290,Sheet2!B:E,4,0),C290)</f>
        <v>一般产品</v>
      </c>
    </row>
    <row r="291" spans="1:19" x14ac:dyDescent="0.2">
      <c r="A291" t="s">
        <v>2075</v>
      </c>
      <c r="B291">
        <v>2299</v>
      </c>
      <c r="C291" t="s">
        <v>26</v>
      </c>
      <c r="D291" t="s">
        <v>50</v>
      </c>
      <c r="E291" t="s">
        <v>802</v>
      </c>
      <c r="F291" t="s">
        <v>702</v>
      </c>
      <c r="G291" s="2" t="s">
        <v>703</v>
      </c>
      <c r="H291" t="s">
        <v>18</v>
      </c>
      <c r="I291" t="s">
        <v>250</v>
      </c>
      <c r="J291" t="s">
        <v>251</v>
      </c>
      <c r="K291" t="s">
        <v>930</v>
      </c>
      <c r="L291" t="s">
        <v>930</v>
      </c>
      <c r="M291" t="s">
        <v>252</v>
      </c>
      <c r="N291" t="s">
        <v>44</v>
      </c>
      <c r="O291" t="s">
        <v>24</v>
      </c>
      <c r="P291" t="s">
        <v>25</v>
      </c>
      <c r="Q291">
        <v>1</v>
      </c>
      <c r="R291">
        <v>0</v>
      </c>
      <c r="S291" s="2" t="str">
        <f>IFERROR(VLOOKUP(C291,Sheet2!B:E,4,0),C291)</f>
        <v>一般产品</v>
      </c>
    </row>
    <row r="292" spans="1:19" x14ac:dyDescent="0.2">
      <c r="A292" t="s">
        <v>2076</v>
      </c>
      <c r="B292">
        <v>2300</v>
      </c>
      <c r="C292" t="s">
        <v>580</v>
      </c>
      <c r="D292" t="s">
        <v>970</v>
      </c>
      <c r="E292" t="s">
        <v>1582</v>
      </c>
      <c r="F292" t="s">
        <v>384</v>
      </c>
      <c r="G292" s="2" t="s">
        <v>385</v>
      </c>
      <c r="H292" t="s">
        <v>18</v>
      </c>
      <c r="I292" t="s">
        <v>930</v>
      </c>
      <c r="J292" t="s">
        <v>930</v>
      </c>
      <c r="K292" t="s">
        <v>842</v>
      </c>
      <c r="L292" t="s">
        <v>930</v>
      </c>
      <c r="M292" t="s">
        <v>932</v>
      </c>
      <c r="N292" t="s">
        <v>85</v>
      </c>
      <c r="O292" t="s">
        <v>33</v>
      </c>
      <c r="P292" t="s">
        <v>34</v>
      </c>
      <c r="Q292">
        <v>1</v>
      </c>
      <c r="R292">
        <v>0</v>
      </c>
      <c r="S292" s="2" t="str">
        <f>IFERROR(VLOOKUP(C292,Sheet2!B:E,4,0),C292)</f>
        <v>10期贷</v>
      </c>
    </row>
    <row r="293" spans="1:19" x14ac:dyDescent="0.2">
      <c r="A293" t="s">
        <v>2077</v>
      </c>
      <c r="B293">
        <v>3088</v>
      </c>
      <c r="C293" t="s">
        <v>589</v>
      </c>
      <c r="D293" t="s">
        <v>972</v>
      </c>
      <c r="E293" t="s">
        <v>957</v>
      </c>
      <c r="F293" t="s">
        <v>992</v>
      </c>
      <c r="G293" s="2" t="s">
        <v>993</v>
      </c>
      <c r="H293" t="s">
        <v>18</v>
      </c>
      <c r="I293" t="s">
        <v>76</v>
      </c>
      <c r="J293" t="s">
        <v>77</v>
      </c>
      <c r="K293" t="s">
        <v>930</v>
      </c>
      <c r="L293" t="s">
        <v>930</v>
      </c>
      <c r="M293" t="s">
        <v>78</v>
      </c>
      <c r="N293" t="s">
        <v>44</v>
      </c>
      <c r="O293" t="s">
        <v>24</v>
      </c>
      <c r="P293" t="s">
        <v>25</v>
      </c>
      <c r="Q293">
        <v>1</v>
      </c>
      <c r="R293">
        <v>0</v>
      </c>
      <c r="S293" s="2" t="str">
        <f>IFERROR(VLOOKUP(C293,Sheet2!B:E,4,0),C293)</f>
        <v>优惠产品</v>
      </c>
    </row>
    <row r="294" spans="1:19" x14ac:dyDescent="0.2">
      <c r="A294" t="s">
        <v>2078</v>
      </c>
      <c r="B294">
        <v>2300</v>
      </c>
      <c r="C294" t="s">
        <v>589</v>
      </c>
      <c r="D294" t="s">
        <v>50</v>
      </c>
      <c r="E294" t="s">
        <v>1180</v>
      </c>
      <c r="F294" t="s">
        <v>465</v>
      </c>
      <c r="G294" s="2" t="s">
        <v>466</v>
      </c>
      <c r="H294" t="s">
        <v>18</v>
      </c>
      <c r="I294" t="s">
        <v>156</v>
      </c>
      <c r="J294" t="s">
        <v>157</v>
      </c>
      <c r="K294" t="s">
        <v>930</v>
      </c>
      <c r="L294" t="s">
        <v>930</v>
      </c>
      <c r="M294" t="s">
        <v>158</v>
      </c>
      <c r="N294" t="s">
        <v>146</v>
      </c>
      <c r="O294" t="s">
        <v>33</v>
      </c>
      <c r="P294" t="s">
        <v>34</v>
      </c>
      <c r="Q294">
        <v>1</v>
      </c>
      <c r="R294">
        <v>0</v>
      </c>
      <c r="S294" s="2" t="str">
        <f>IFERROR(VLOOKUP(C294,Sheet2!B:E,4,0),C294)</f>
        <v>优惠产品</v>
      </c>
    </row>
    <row r="295" spans="1:19" x14ac:dyDescent="0.2">
      <c r="A295" t="s">
        <v>2079</v>
      </c>
      <c r="B295">
        <v>2800</v>
      </c>
      <c r="C295" t="s">
        <v>26</v>
      </c>
      <c r="D295" t="s">
        <v>970</v>
      </c>
      <c r="E295" t="s">
        <v>2080</v>
      </c>
      <c r="F295" t="s">
        <v>2081</v>
      </c>
      <c r="G295" s="2" t="s">
        <v>2082</v>
      </c>
      <c r="H295" t="s">
        <v>18</v>
      </c>
      <c r="I295" t="s">
        <v>130</v>
      </c>
      <c r="J295" t="s">
        <v>131</v>
      </c>
      <c r="K295" t="s">
        <v>930</v>
      </c>
      <c r="L295" t="s">
        <v>930</v>
      </c>
      <c r="M295" t="s">
        <v>132</v>
      </c>
      <c r="N295" t="s">
        <v>51</v>
      </c>
      <c r="O295" t="s">
        <v>33</v>
      </c>
      <c r="P295" t="s">
        <v>34</v>
      </c>
      <c r="Q295">
        <v>1</v>
      </c>
      <c r="R295">
        <v>0</v>
      </c>
      <c r="S295" s="2" t="str">
        <f>IFERROR(VLOOKUP(C295,Sheet2!B:E,4,0),C295)</f>
        <v>一般产品</v>
      </c>
    </row>
    <row r="296" spans="1:19" x14ac:dyDescent="0.2">
      <c r="A296" t="s">
        <v>2083</v>
      </c>
      <c r="B296">
        <v>1900</v>
      </c>
      <c r="C296" t="s">
        <v>26</v>
      </c>
      <c r="D296" t="s">
        <v>50</v>
      </c>
      <c r="E296" t="s">
        <v>2000</v>
      </c>
      <c r="F296" t="s">
        <v>2084</v>
      </c>
      <c r="G296" s="2" t="s">
        <v>2085</v>
      </c>
      <c r="H296" t="s">
        <v>18</v>
      </c>
      <c r="I296" t="s">
        <v>221</v>
      </c>
      <c r="J296" t="s">
        <v>222</v>
      </c>
      <c r="K296" t="s">
        <v>930</v>
      </c>
      <c r="L296" t="s">
        <v>930</v>
      </c>
      <c r="M296" t="s">
        <v>223</v>
      </c>
      <c r="N296" t="s">
        <v>55</v>
      </c>
      <c r="O296" t="s">
        <v>33</v>
      </c>
      <c r="P296" t="s">
        <v>34</v>
      </c>
      <c r="Q296">
        <v>1</v>
      </c>
      <c r="R296">
        <v>0</v>
      </c>
      <c r="S296" s="2" t="str">
        <f>IFERROR(VLOOKUP(C296,Sheet2!B:E,4,0),C296)</f>
        <v>一般产品</v>
      </c>
    </row>
    <row r="297" spans="1:19" x14ac:dyDescent="0.2">
      <c r="A297" t="s">
        <v>2086</v>
      </c>
      <c r="B297">
        <v>3599</v>
      </c>
      <c r="C297" t="s">
        <v>26</v>
      </c>
      <c r="D297" t="s">
        <v>972</v>
      </c>
      <c r="E297" t="s">
        <v>2087</v>
      </c>
      <c r="F297" t="s">
        <v>527</v>
      </c>
      <c r="G297" s="2" t="s">
        <v>528</v>
      </c>
      <c r="H297" t="s">
        <v>18</v>
      </c>
      <c r="I297" t="s">
        <v>167</v>
      </c>
      <c r="J297" t="s">
        <v>168</v>
      </c>
      <c r="K297" t="s">
        <v>930</v>
      </c>
      <c r="L297" t="s">
        <v>930</v>
      </c>
      <c r="M297" t="s">
        <v>937</v>
      </c>
      <c r="N297" t="s">
        <v>68</v>
      </c>
      <c r="O297" t="s">
        <v>33</v>
      </c>
      <c r="P297" t="s">
        <v>34</v>
      </c>
      <c r="Q297">
        <v>1</v>
      </c>
      <c r="R297">
        <v>0</v>
      </c>
      <c r="S297" s="2" t="str">
        <f>IFERROR(VLOOKUP(C297,Sheet2!B:E,4,0),C297)</f>
        <v>一般产品</v>
      </c>
    </row>
    <row r="298" spans="1:19" x14ac:dyDescent="0.2">
      <c r="A298" t="s">
        <v>2088</v>
      </c>
      <c r="B298">
        <v>2000</v>
      </c>
      <c r="C298" t="s">
        <v>26</v>
      </c>
      <c r="D298" t="s">
        <v>970</v>
      </c>
      <c r="E298" t="s">
        <v>1090</v>
      </c>
      <c r="F298" t="s">
        <v>2089</v>
      </c>
      <c r="G298" s="2" t="s">
        <v>2090</v>
      </c>
      <c r="H298" t="s">
        <v>18</v>
      </c>
      <c r="I298" t="s">
        <v>125</v>
      </c>
      <c r="J298" t="s">
        <v>126</v>
      </c>
      <c r="K298" t="s">
        <v>930</v>
      </c>
      <c r="L298" t="s">
        <v>930</v>
      </c>
      <c r="M298" t="s">
        <v>127</v>
      </c>
      <c r="N298" t="s">
        <v>32</v>
      </c>
      <c r="O298" t="s">
        <v>33</v>
      </c>
      <c r="P298" t="s">
        <v>34</v>
      </c>
      <c r="Q298">
        <v>1</v>
      </c>
      <c r="R298">
        <v>0</v>
      </c>
      <c r="S298" s="2" t="str">
        <f>IFERROR(VLOOKUP(C298,Sheet2!B:E,4,0),C298)</f>
        <v>一般产品</v>
      </c>
    </row>
    <row r="299" spans="1:19" x14ac:dyDescent="0.2">
      <c r="A299" t="s">
        <v>2091</v>
      </c>
      <c r="B299">
        <v>3100</v>
      </c>
      <c r="C299" t="s">
        <v>26</v>
      </c>
      <c r="D299" t="s">
        <v>970</v>
      </c>
      <c r="E299" t="s">
        <v>2092</v>
      </c>
      <c r="F299" t="s">
        <v>1501</v>
      </c>
      <c r="G299" s="2" t="s">
        <v>1502</v>
      </c>
      <c r="H299" t="s">
        <v>18</v>
      </c>
      <c r="I299" t="s">
        <v>255</v>
      </c>
      <c r="J299" t="s">
        <v>256</v>
      </c>
      <c r="K299" t="s">
        <v>930</v>
      </c>
      <c r="L299" t="s">
        <v>930</v>
      </c>
      <c r="M299" t="s">
        <v>257</v>
      </c>
      <c r="N299" t="s">
        <v>47</v>
      </c>
      <c r="O299" t="s">
        <v>33</v>
      </c>
      <c r="P299" t="s">
        <v>34</v>
      </c>
      <c r="Q299">
        <v>1</v>
      </c>
      <c r="R299">
        <v>0</v>
      </c>
      <c r="S299" s="2" t="str">
        <f>IFERROR(VLOOKUP(C299,Sheet2!B:E,4,0),C299)</f>
        <v>一般产品</v>
      </c>
    </row>
    <row r="300" spans="1:19" x14ac:dyDescent="0.2">
      <c r="A300" t="s">
        <v>2093</v>
      </c>
      <c r="B300">
        <v>5000</v>
      </c>
      <c r="C300" t="s">
        <v>589</v>
      </c>
      <c r="D300" t="s">
        <v>972</v>
      </c>
      <c r="E300" t="s">
        <v>2094</v>
      </c>
      <c r="F300" t="s">
        <v>1236</v>
      </c>
      <c r="G300" s="2" t="s">
        <v>1237</v>
      </c>
      <c r="H300" t="s">
        <v>18</v>
      </c>
      <c r="I300" t="s">
        <v>227</v>
      </c>
      <c r="J300" t="s">
        <v>228</v>
      </c>
      <c r="K300" t="s">
        <v>930</v>
      </c>
      <c r="L300" t="s">
        <v>930</v>
      </c>
      <c r="M300" t="s">
        <v>229</v>
      </c>
      <c r="N300" t="s">
        <v>194</v>
      </c>
      <c r="O300" t="s">
        <v>24</v>
      </c>
      <c r="P300" t="s">
        <v>25</v>
      </c>
      <c r="Q300">
        <v>1</v>
      </c>
      <c r="R300">
        <v>0</v>
      </c>
      <c r="S300" s="2" t="str">
        <f>IFERROR(VLOOKUP(C300,Sheet2!B:E,4,0),C300)</f>
        <v>优惠产品</v>
      </c>
    </row>
    <row r="301" spans="1:19" x14ac:dyDescent="0.2">
      <c r="A301" t="s">
        <v>2095</v>
      </c>
      <c r="B301">
        <v>3500</v>
      </c>
      <c r="C301" t="s">
        <v>589</v>
      </c>
      <c r="D301" t="s">
        <v>972</v>
      </c>
      <c r="E301" t="s">
        <v>2096</v>
      </c>
      <c r="F301" t="s">
        <v>1507</v>
      </c>
      <c r="G301" s="2" t="s">
        <v>1508</v>
      </c>
      <c r="H301" t="s">
        <v>18</v>
      </c>
      <c r="I301" t="s">
        <v>195</v>
      </c>
      <c r="J301" t="s">
        <v>196</v>
      </c>
      <c r="K301" t="s">
        <v>930</v>
      </c>
      <c r="L301" t="s">
        <v>930</v>
      </c>
      <c r="M301" t="s">
        <v>197</v>
      </c>
      <c r="N301" t="s">
        <v>136</v>
      </c>
      <c r="O301" t="s">
        <v>95</v>
      </c>
      <c r="P301" t="s">
        <v>90</v>
      </c>
      <c r="Q301">
        <v>1</v>
      </c>
      <c r="R301">
        <v>0</v>
      </c>
      <c r="S301" s="2" t="str">
        <f>IFERROR(VLOOKUP(C301,Sheet2!B:E,4,0),C301)</f>
        <v>优惠产品</v>
      </c>
    </row>
    <row r="302" spans="1:19" x14ac:dyDescent="0.2">
      <c r="A302" t="s">
        <v>2097</v>
      </c>
      <c r="B302">
        <v>1700</v>
      </c>
      <c r="C302" t="s">
        <v>26</v>
      </c>
      <c r="D302" t="s">
        <v>50</v>
      </c>
      <c r="E302" t="s">
        <v>2098</v>
      </c>
      <c r="F302" t="s">
        <v>1503</v>
      </c>
      <c r="G302" s="2" t="s">
        <v>1504</v>
      </c>
      <c r="H302" t="s">
        <v>28</v>
      </c>
      <c r="I302" t="s">
        <v>207</v>
      </c>
      <c r="J302" t="s">
        <v>208</v>
      </c>
      <c r="K302" t="s">
        <v>930</v>
      </c>
      <c r="L302" t="s">
        <v>930</v>
      </c>
      <c r="M302" t="s">
        <v>209</v>
      </c>
      <c r="N302" t="s">
        <v>32</v>
      </c>
      <c r="O302" t="s">
        <v>33</v>
      </c>
      <c r="P302" t="s">
        <v>34</v>
      </c>
      <c r="Q302">
        <v>1</v>
      </c>
      <c r="R302">
        <v>0</v>
      </c>
      <c r="S302" s="2" t="str">
        <f>IFERROR(VLOOKUP(C302,Sheet2!B:E,4,0),C302)</f>
        <v>一般产品</v>
      </c>
    </row>
    <row r="303" spans="1:19" x14ac:dyDescent="0.2">
      <c r="A303" t="s">
        <v>2099</v>
      </c>
      <c r="B303">
        <v>1998</v>
      </c>
      <c r="C303" t="s">
        <v>589</v>
      </c>
      <c r="D303" t="s">
        <v>971</v>
      </c>
      <c r="E303" t="s">
        <v>2100</v>
      </c>
      <c r="F303" t="s">
        <v>1205</v>
      </c>
      <c r="G303" s="2" t="s">
        <v>1206</v>
      </c>
      <c r="H303" t="s">
        <v>18</v>
      </c>
      <c r="I303" t="s">
        <v>311</v>
      </c>
      <c r="J303" t="s">
        <v>312</v>
      </c>
      <c r="K303" t="s">
        <v>930</v>
      </c>
      <c r="L303" t="s">
        <v>930</v>
      </c>
      <c r="M303" t="s">
        <v>313</v>
      </c>
      <c r="N303" t="s">
        <v>194</v>
      </c>
      <c r="O303" t="s">
        <v>24</v>
      </c>
      <c r="P303" t="s">
        <v>25</v>
      </c>
      <c r="Q303">
        <v>1</v>
      </c>
      <c r="R303">
        <v>0</v>
      </c>
      <c r="S303" s="2" t="str">
        <f>IFERROR(VLOOKUP(C303,Sheet2!B:E,4,0),C303)</f>
        <v>优惠产品</v>
      </c>
    </row>
    <row r="304" spans="1:19" x14ac:dyDescent="0.2">
      <c r="A304" t="s">
        <v>2101</v>
      </c>
      <c r="B304">
        <v>2400</v>
      </c>
      <c r="C304" t="s">
        <v>26</v>
      </c>
      <c r="D304" t="s">
        <v>50</v>
      </c>
      <c r="E304" t="s">
        <v>2023</v>
      </c>
      <c r="F304" t="s">
        <v>2024</v>
      </c>
      <c r="G304" s="2" t="s">
        <v>2025</v>
      </c>
      <c r="H304" t="s">
        <v>18</v>
      </c>
      <c r="I304" t="s">
        <v>930</v>
      </c>
      <c r="J304" t="s">
        <v>930</v>
      </c>
      <c r="K304" t="s">
        <v>106</v>
      </c>
      <c r="L304" t="s">
        <v>930</v>
      </c>
      <c r="M304" t="s">
        <v>1456</v>
      </c>
      <c r="N304" t="s">
        <v>108</v>
      </c>
      <c r="O304" t="s">
        <v>33</v>
      </c>
      <c r="P304" t="s">
        <v>34</v>
      </c>
      <c r="Q304">
        <v>1</v>
      </c>
      <c r="R304">
        <v>0</v>
      </c>
      <c r="S304" s="2" t="str">
        <f>IFERROR(VLOOKUP(C304,Sheet2!B:E,4,0),C304)</f>
        <v>一般产品</v>
      </c>
    </row>
    <row r="305" spans="1:19" x14ac:dyDescent="0.2">
      <c r="A305" t="s">
        <v>2102</v>
      </c>
      <c r="B305">
        <v>3100</v>
      </c>
      <c r="C305" t="s">
        <v>26</v>
      </c>
      <c r="D305" t="s">
        <v>50</v>
      </c>
      <c r="E305" t="s">
        <v>1450</v>
      </c>
      <c r="F305" t="s">
        <v>1501</v>
      </c>
      <c r="G305" s="2" t="s">
        <v>1502</v>
      </c>
      <c r="H305" t="s">
        <v>18</v>
      </c>
      <c r="I305" t="s">
        <v>255</v>
      </c>
      <c r="J305" t="s">
        <v>256</v>
      </c>
      <c r="K305" t="s">
        <v>930</v>
      </c>
      <c r="L305" t="s">
        <v>930</v>
      </c>
      <c r="M305" t="s">
        <v>257</v>
      </c>
      <c r="N305" t="s">
        <v>47</v>
      </c>
      <c r="O305" t="s">
        <v>33</v>
      </c>
      <c r="P305" t="s">
        <v>34</v>
      </c>
      <c r="Q305">
        <v>1</v>
      </c>
      <c r="R305">
        <v>0</v>
      </c>
      <c r="S305" s="2" t="str">
        <f>IFERROR(VLOOKUP(C305,Sheet2!B:E,4,0),C305)</f>
        <v>一般产品</v>
      </c>
    </row>
    <row r="306" spans="1:19" x14ac:dyDescent="0.2">
      <c r="A306" t="s">
        <v>2103</v>
      </c>
      <c r="B306">
        <v>3100</v>
      </c>
      <c r="C306" t="s">
        <v>26</v>
      </c>
      <c r="D306" t="s">
        <v>50</v>
      </c>
      <c r="E306" t="s">
        <v>1445</v>
      </c>
      <c r="F306" t="s">
        <v>1092</v>
      </c>
      <c r="G306" s="2" t="s">
        <v>1093</v>
      </c>
      <c r="H306" t="s">
        <v>18</v>
      </c>
      <c r="I306" t="s">
        <v>930</v>
      </c>
      <c r="J306" t="s">
        <v>930</v>
      </c>
      <c r="K306" t="s">
        <v>548</v>
      </c>
      <c r="L306" t="s">
        <v>930</v>
      </c>
      <c r="M306" t="s">
        <v>549</v>
      </c>
      <c r="N306" t="s">
        <v>32</v>
      </c>
      <c r="O306" t="s">
        <v>33</v>
      </c>
      <c r="P306" t="s">
        <v>34</v>
      </c>
      <c r="Q306">
        <v>1</v>
      </c>
      <c r="R306">
        <v>0</v>
      </c>
      <c r="S306" s="2" t="str">
        <f>IFERROR(VLOOKUP(C306,Sheet2!B:E,4,0),C306)</f>
        <v>一般产品</v>
      </c>
    </row>
    <row r="307" spans="1:19" x14ac:dyDescent="0.2">
      <c r="A307" t="s">
        <v>2104</v>
      </c>
      <c r="B307">
        <v>5180</v>
      </c>
      <c r="C307" t="s">
        <v>575</v>
      </c>
      <c r="D307" t="s">
        <v>50</v>
      </c>
      <c r="E307" t="s">
        <v>2105</v>
      </c>
      <c r="F307" t="s">
        <v>1404</v>
      </c>
      <c r="G307" s="2" t="s">
        <v>1405</v>
      </c>
      <c r="H307" t="s">
        <v>28</v>
      </c>
      <c r="I307" t="s">
        <v>343</v>
      </c>
      <c r="J307" t="s">
        <v>344</v>
      </c>
      <c r="K307" t="s">
        <v>930</v>
      </c>
      <c r="L307" t="s">
        <v>930</v>
      </c>
      <c r="M307" t="s">
        <v>345</v>
      </c>
      <c r="N307" t="s">
        <v>114</v>
      </c>
      <c r="O307" t="s">
        <v>24</v>
      </c>
      <c r="P307" t="s">
        <v>25</v>
      </c>
      <c r="Q307">
        <v>1</v>
      </c>
      <c r="R307">
        <v>0</v>
      </c>
      <c r="S307" s="2" t="str">
        <f>IFERROR(VLOOKUP(C307,Sheet2!B:E,4,0),C307)</f>
        <v>优惠产品</v>
      </c>
    </row>
    <row r="308" spans="1:19" x14ac:dyDescent="0.2">
      <c r="A308" t="s">
        <v>2106</v>
      </c>
      <c r="B308">
        <v>3298</v>
      </c>
      <c r="C308" t="s">
        <v>26</v>
      </c>
      <c r="D308" t="s">
        <v>971</v>
      </c>
      <c r="E308" t="s">
        <v>2070</v>
      </c>
      <c r="F308" t="s">
        <v>2071</v>
      </c>
      <c r="G308" s="2" t="s">
        <v>2072</v>
      </c>
      <c r="H308" t="s">
        <v>28</v>
      </c>
      <c r="I308" t="s">
        <v>147</v>
      </c>
      <c r="J308" t="s">
        <v>148</v>
      </c>
      <c r="K308" t="s">
        <v>930</v>
      </c>
      <c r="L308" t="s">
        <v>930</v>
      </c>
      <c r="M308" t="s">
        <v>149</v>
      </c>
      <c r="N308" t="s">
        <v>73</v>
      </c>
      <c r="O308" t="s">
        <v>24</v>
      </c>
      <c r="P308" t="s">
        <v>25</v>
      </c>
      <c r="Q308">
        <v>1</v>
      </c>
      <c r="R308">
        <v>0</v>
      </c>
      <c r="S308" s="2" t="str">
        <f>IFERROR(VLOOKUP(C308,Sheet2!B:E,4,0),C308)</f>
        <v>一般产品</v>
      </c>
    </row>
    <row r="309" spans="1:19" x14ac:dyDescent="0.2">
      <c r="A309" t="s">
        <v>2107</v>
      </c>
      <c r="B309">
        <v>1999</v>
      </c>
      <c r="C309" t="s">
        <v>589</v>
      </c>
      <c r="D309" t="s">
        <v>972</v>
      </c>
      <c r="E309" t="s">
        <v>2108</v>
      </c>
      <c r="F309" t="s">
        <v>1262</v>
      </c>
      <c r="G309" s="2" t="s">
        <v>1263</v>
      </c>
      <c r="H309" t="s">
        <v>18</v>
      </c>
      <c r="I309" t="s">
        <v>930</v>
      </c>
      <c r="J309" t="s">
        <v>930</v>
      </c>
      <c r="K309" t="s">
        <v>930</v>
      </c>
      <c r="L309" t="s">
        <v>930</v>
      </c>
      <c r="M309" t="s">
        <v>59</v>
      </c>
      <c r="N309" t="s">
        <v>194</v>
      </c>
      <c r="O309" t="s">
        <v>24</v>
      </c>
      <c r="P309" t="s">
        <v>25</v>
      </c>
      <c r="Q309">
        <v>1</v>
      </c>
      <c r="R309">
        <v>0</v>
      </c>
      <c r="S309" s="2" t="str">
        <f>IFERROR(VLOOKUP(C309,Sheet2!B:E,4,0),C309)</f>
        <v>优惠产品</v>
      </c>
    </row>
    <row r="310" spans="1:19" x14ac:dyDescent="0.2">
      <c r="A310" t="s">
        <v>2109</v>
      </c>
      <c r="B310">
        <v>1500</v>
      </c>
      <c r="C310" t="s">
        <v>26</v>
      </c>
      <c r="D310" t="s">
        <v>971</v>
      </c>
      <c r="E310" t="s">
        <v>1025</v>
      </c>
      <c r="F310" t="s">
        <v>1018</v>
      </c>
      <c r="G310" s="2" t="s">
        <v>1019</v>
      </c>
      <c r="H310" t="s">
        <v>18</v>
      </c>
      <c r="I310" t="s">
        <v>40</v>
      </c>
      <c r="J310" t="s">
        <v>41</v>
      </c>
      <c r="K310" t="s">
        <v>930</v>
      </c>
      <c r="L310" t="s">
        <v>930</v>
      </c>
      <c r="M310" t="s">
        <v>42</v>
      </c>
      <c r="N310" t="s">
        <v>43</v>
      </c>
      <c r="O310" t="s">
        <v>24</v>
      </c>
      <c r="P310" t="s">
        <v>25</v>
      </c>
      <c r="Q310">
        <v>1</v>
      </c>
      <c r="R310">
        <v>0</v>
      </c>
      <c r="S310" s="2" t="str">
        <f>IFERROR(VLOOKUP(C310,Sheet2!B:E,4,0),C310)</f>
        <v>一般产品</v>
      </c>
    </row>
    <row r="311" spans="1:19" x14ac:dyDescent="0.2">
      <c r="A311" t="s">
        <v>2110</v>
      </c>
      <c r="B311">
        <v>1400</v>
      </c>
      <c r="C311" t="s">
        <v>26</v>
      </c>
      <c r="D311" t="s">
        <v>50</v>
      </c>
      <c r="E311" t="s">
        <v>1287</v>
      </c>
      <c r="F311" t="s">
        <v>804</v>
      </c>
      <c r="G311" s="2" t="s">
        <v>805</v>
      </c>
      <c r="H311" t="s">
        <v>18</v>
      </c>
      <c r="I311" t="s">
        <v>221</v>
      </c>
      <c r="J311" t="s">
        <v>222</v>
      </c>
      <c r="K311" t="s">
        <v>930</v>
      </c>
      <c r="L311" t="s">
        <v>930</v>
      </c>
      <c r="M311" t="s">
        <v>223</v>
      </c>
      <c r="N311" t="s">
        <v>55</v>
      </c>
      <c r="O311" t="s">
        <v>33</v>
      </c>
      <c r="P311" t="s">
        <v>34</v>
      </c>
      <c r="Q311">
        <v>1</v>
      </c>
      <c r="R311">
        <v>0</v>
      </c>
      <c r="S311" s="2" t="str">
        <f>IFERROR(VLOOKUP(C311,Sheet2!B:E,4,0),C311)</f>
        <v>一般产品</v>
      </c>
    </row>
    <row r="312" spans="1:19" x14ac:dyDescent="0.2">
      <c r="A312" t="s">
        <v>2111</v>
      </c>
      <c r="B312">
        <v>1099</v>
      </c>
      <c r="C312" t="s">
        <v>26</v>
      </c>
      <c r="D312" t="s">
        <v>50</v>
      </c>
      <c r="E312" t="s">
        <v>2112</v>
      </c>
      <c r="F312" t="s">
        <v>2113</v>
      </c>
      <c r="G312" s="2" t="s">
        <v>2114</v>
      </c>
      <c r="H312" t="s">
        <v>18</v>
      </c>
      <c r="I312" t="s">
        <v>930</v>
      </c>
      <c r="J312" t="s">
        <v>930</v>
      </c>
      <c r="K312" t="s">
        <v>471</v>
      </c>
      <c r="L312" t="s">
        <v>930</v>
      </c>
      <c r="M312" t="s">
        <v>472</v>
      </c>
      <c r="N312" t="s">
        <v>47</v>
      </c>
      <c r="O312" t="s">
        <v>33</v>
      </c>
      <c r="P312" t="s">
        <v>34</v>
      </c>
      <c r="Q312">
        <v>1</v>
      </c>
      <c r="R312">
        <v>0</v>
      </c>
      <c r="S312" s="2" t="str">
        <f>IFERROR(VLOOKUP(C312,Sheet2!B:E,4,0),C312)</f>
        <v>一般产品</v>
      </c>
    </row>
    <row r="313" spans="1:19" x14ac:dyDescent="0.2">
      <c r="A313" t="s">
        <v>2115</v>
      </c>
      <c r="B313">
        <v>3800</v>
      </c>
      <c r="C313" t="s">
        <v>26</v>
      </c>
      <c r="D313" t="s">
        <v>970</v>
      </c>
      <c r="E313" t="s">
        <v>2116</v>
      </c>
      <c r="F313" t="s">
        <v>1397</v>
      </c>
      <c r="G313" s="2" t="s">
        <v>1398</v>
      </c>
      <c r="H313" t="s">
        <v>18</v>
      </c>
      <c r="I313" t="s">
        <v>930</v>
      </c>
      <c r="J313" t="s">
        <v>930</v>
      </c>
      <c r="K313" t="s">
        <v>79</v>
      </c>
      <c r="L313" t="s">
        <v>930</v>
      </c>
      <c r="M313" t="s">
        <v>80</v>
      </c>
      <c r="N313" t="s">
        <v>51</v>
      </c>
      <c r="O313" t="s">
        <v>33</v>
      </c>
      <c r="P313" t="s">
        <v>34</v>
      </c>
      <c r="Q313">
        <v>1</v>
      </c>
      <c r="R313">
        <v>0</v>
      </c>
      <c r="S313" s="2" t="str">
        <f>IFERROR(VLOOKUP(C313,Sheet2!B:E,4,0),C313)</f>
        <v>一般产品</v>
      </c>
    </row>
    <row r="314" spans="1:19" x14ac:dyDescent="0.2">
      <c r="A314" t="s">
        <v>2117</v>
      </c>
      <c r="B314">
        <v>2998</v>
      </c>
      <c r="C314" t="s">
        <v>26</v>
      </c>
      <c r="D314" t="s">
        <v>972</v>
      </c>
      <c r="E314" t="s">
        <v>2118</v>
      </c>
      <c r="F314" t="s">
        <v>678</v>
      </c>
      <c r="G314" s="2" t="s">
        <v>679</v>
      </c>
      <c r="H314" t="s">
        <v>28</v>
      </c>
      <c r="I314" t="s">
        <v>100</v>
      </c>
      <c r="J314" t="s">
        <v>101</v>
      </c>
      <c r="K314" t="s">
        <v>930</v>
      </c>
      <c r="L314" t="s">
        <v>930</v>
      </c>
      <c r="M314" t="s">
        <v>102</v>
      </c>
      <c r="N314" t="s">
        <v>59</v>
      </c>
      <c r="O314" t="s">
        <v>72</v>
      </c>
      <c r="P314" t="s">
        <v>34</v>
      </c>
      <c r="Q314">
        <v>1</v>
      </c>
      <c r="R314">
        <v>0</v>
      </c>
      <c r="S314" s="2" t="str">
        <f>IFERROR(VLOOKUP(C314,Sheet2!B:E,4,0),C314)</f>
        <v>一般产品</v>
      </c>
    </row>
    <row r="315" spans="1:19" x14ac:dyDescent="0.2">
      <c r="A315" t="s">
        <v>2119</v>
      </c>
      <c r="B315">
        <v>4000</v>
      </c>
      <c r="C315" t="s">
        <v>575</v>
      </c>
      <c r="D315" t="s">
        <v>970</v>
      </c>
      <c r="E315" t="s">
        <v>358</v>
      </c>
      <c r="F315" t="s">
        <v>2120</v>
      </c>
      <c r="G315" s="2" t="s">
        <v>2121</v>
      </c>
      <c r="H315" t="s">
        <v>18</v>
      </c>
      <c r="I315" t="s">
        <v>169</v>
      </c>
      <c r="J315" t="s">
        <v>170</v>
      </c>
      <c r="K315" t="s">
        <v>930</v>
      </c>
      <c r="L315" t="s">
        <v>930</v>
      </c>
      <c r="M315" t="s">
        <v>171</v>
      </c>
      <c r="N315" t="s">
        <v>38</v>
      </c>
      <c r="O315" t="s">
        <v>39</v>
      </c>
      <c r="P315" t="s">
        <v>25</v>
      </c>
      <c r="Q315">
        <v>1</v>
      </c>
      <c r="R315">
        <v>0</v>
      </c>
      <c r="S315" s="2" t="str">
        <f>IFERROR(VLOOKUP(C315,Sheet2!B:E,4,0),C315)</f>
        <v>优惠产品</v>
      </c>
    </row>
    <row r="316" spans="1:19" x14ac:dyDescent="0.2">
      <c r="A316" t="s">
        <v>2122</v>
      </c>
      <c r="B316">
        <v>2498</v>
      </c>
      <c r="C316" t="s">
        <v>26</v>
      </c>
      <c r="D316" t="s">
        <v>970</v>
      </c>
      <c r="E316" t="s">
        <v>2123</v>
      </c>
      <c r="F316" t="s">
        <v>1725</v>
      </c>
      <c r="G316" s="2" t="s">
        <v>1726</v>
      </c>
      <c r="H316" t="s">
        <v>28</v>
      </c>
      <c r="I316" t="s">
        <v>930</v>
      </c>
      <c r="J316" t="s">
        <v>930</v>
      </c>
      <c r="K316" t="s">
        <v>930</v>
      </c>
      <c r="L316" t="s">
        <v>930</v>
      </c>
      <c r="M316" t="s">
        <v>45</v>
      </c>
      <c r="N316" t="s">
        <v>46</v>
      </c>
      <c r="O316" t="s">
        <v>39</v>
      </c>
      <c r="P316" t="s">
        <v>25</v>
      </c>
      <c r="Q316">
        <v>1</v>
      </c>
      <c r="R316">
        <v>0</v>
      </c>
      <c r="S316" s="2" t="str">
        <f>IFERROR(VLOOKUP(C316,Sheet2!B:E,4,0),C316)</f>
        <v>一般产品</v>
      </c>
    </row>
    <row r="317" spans="1:19" x14ac:dyDescent="0.2">
      <c r="A317" t="s">
        <v>2124</v>
      </c>
      <c r="B317">
        <v>2099</v>
      </c>
      <c r="C317" t="s">
        <v>1073</v>
      </c>
      <c r="D317" t="s">
        <v>726</v>
      </c>
      <c r="E317" t="s">
        <v>2125</v>
      </c>
      <c r="F317" t="s">
        <v>2126</v>
      </c>
      <c r="G317" s="2" t="s">
        <v>2127</v>
      </c>
      <c r="H317" t="s">
        <v>18</v>
      </c>
      <c r="I317" t="s">
        <v>930</v>
      </c>
      <c r="J317" t="s">
        <v>930</v>
      </c>
      <c r="K317" t="s">
        <v>115</v>
      </c>
      <c r="L317" t="s">
        <v>930</v>
      </c>
      <c r="M317" t="s">
        <v>116</v>
      </c>
      <c r="N317" t="s">
        <v>45</v>
      </c>
      <c r="O317" t="s">
        <v>117</v>
      </c>
      <c r="P317" t="s">
        <v>34</v>
      </c>
      <c r="Q317">
        <v>1</v>
      </c>
      <c r="R317">
        <v>0</v>
      </c>
      <c r="S317" s="2" t="str">
        <f>IFERROR(VLOOKUP(C317,Sheet2!B:E,4,0),C317)</f>
        <v>黑龙江10期贷</v>
      </c>
    </row>
    <row r="318" spans="1:19" x14ac:dyDescent="0.2">
      <c r="A318" t="s">
        <v>2128</v>
      </c>
      <c r="B318">
        <v>1300</v>
      </c>
      <c r="C318" t="s">
        <v>26</v>
      </c>
      <c r="D318" t="s">
        <v>50</v>
      </c>
      <c r="E318" t="s">
        <v>2129</v>
      </c>
      <c r="F318" t="s">
        <v>2130</v>
      </c>
      <c r="G318" s="2" t="s">
        <v>2131</v>
      </c>
      <c r="H318" t="s">
        <v>18</v>
      </c>
      <c r="I318" t="s">
        <v>56</v>
      </c>
      <c r="J318" t="s">
        <v>57</v>
      </c>
      <c r="K318" t="s">
        <v>930</v>
      </c>
      <c r="L318" t="s">
        <v>930</v>
      </c>
      <c r="M318" t="s">
        <v>58</v>
      </c>
      <c r="N318" t="s">
        <v>108</v>
      </c>
      <c r="O318" t="s">
        <v>33</v>
      </c>
      <c r="P318" t="s">
        <v>34</v>
      </c>
      <c r="Q318">
        <v>1</v>
      </c>
      <c r="R318">
        <v>0</v>
      </c>
      <c r="S318" s="2" t="str">
        <f>IFERROR(VLOOKUP(C318,Sheet2!B:E,4,0),C318)</f>
        <v>一般产品</v>
      </c>
    </row>
    <row r="319" spans="1:19" x14ac:dyDescent="0.2">
      <c r="A319" t="s">
        <v>2132</v>
      </c>
      <c r="B319">
        <v>2999</v>
      </c>
      <c r="C319" t="s">
        <v>575</v>
      </c>
      <c r="D319" t="s">
        <v>50</v>
      </c>
      <c r="E319" t="s">
        <v>1967</v>
      </c>
      <c r="F319" t="s">
        <v>960</v>
      </c>
      <c r="G319" s="2" t="s">
        <v>808</v>
      </c>
      <c r="H319" t="s">
        <v>18</v>
      </c>
      <c r="I319" t="s">
        <v>930</v>
      </c>
      <c r="J319" t="s">
        <v>930</v>
      </c>
      <c r="K319" t="s">
        <v>756</v>
      </c>
      <c r="L319" t="s">
        <v>930</v>
      </c>
      <c r="M319" t="s">
        <v>757</v>
      </c>
      <c r="N319" t="s">
        <v>62</v>
      </c>
      <c r="O319" t="s">
        <v>117</v>
      </c>
      <c r="P319" t="s">
        <v>34</v>
      </c>
      <c r="Q319">
        <v>1</v>
      </c>
      <c r="R319">
        <v>0</v>
      </c>
      <c r="S319" s="2" t="str">
        <f>IFERROR(VLOOKUP(C319,Sheet2!B:E,4,0),C319)</f>
        <v>优惠产品</v>
      </c>
    </row>
    <row r="320" spans="1:19" x14ac:dyDescent="0.2">
      <c r="A320" t="s">
        <v>2133</v>
      </c>
      <c r="B320">
        <v>2998</v>
      </c>
      <c r="C320" t="s">
        <v>26</v>
      </c>
      <c r="D320" t="s">
        <v>970</v>
      </c>
      <c r="E320" t="s">
        <v>2134</v>
      </c>
      <c r="F320" t="s">
        <v>2135</v>
      </c>
      <c r="G320" s="2" t="s">
        <v>2136</v>
      </c>
      <c r="H320" t="s">
        <v>18</v>
      </c>
      <c r="I320" t="s">
        <v>930</v>
      </c>
      <c r="J320" t="s">
        <v>930</v>
      </c>
      <c r="K320" t="s">
        <v>693</v>
      </c>
      <c r="L320" t="s">
        <v>930</v>
      </c>
      <c r="M320" t="s">
        <v>1050</v>
      </c>
      <c r="N320" t="s">
        <v>68</v>
      </c>
      <c r="O320" t="s">
        <v>33</v>
      </c>
      <c r="P320" t="s">
        <v>34</v>
      </c>
      <c r="Q320">
        <v>1</v>
      </c>
      <c r="R320">
        <v>0</v>
      </c>
      <c r="S320" s="2" t="str">
        <f>IFERROR(VLOOKUP(C320,Sheet2!B:E,4,0),C320)</f>
        <v>一般产品</v>
      </c>
    </row>
    <row r="321" spans="1:19" x14ac:dyDescent="0.2">
      <c r="A321" t="s">
        <v>2137</v>
      </c>
      <c r="B321">
        <v>2799</v>
      </c>
      <c r="C321" t="s">
        <v>19</v>
      </c>
      <c r="D321" t="s">
        <v>50</v>
      </c>
      <c r="E321" t="s">
        <v>2138</v>
      </c>
      <c r="F321" t="s">
        <v>1012</v>
      </c>
      <c r="G321" s="2" t="s">
        <v>1013</v>
      </c>
      <c r="H321" t="s">
        <v>28</v>
      </c>
      <c r="I321" t="s">
        <v>450</v>
      </c>
      <c r="J321" t="s">
        <v>451</v>
      </c>
      <c r="K321" t="s">
        <v>930</v>
      </c>
      <c r="L321" t="s">
        <v>930</v>
      </c>
      <c r="M321" t="s">
        <v>939</v>
      </c>
      <c r="N321" t="s">
        <v>124</v>
      </c>
      <c r="O321" t="s">
        <v>117</v>
      </c>
      <c r="P321" t="s">
        <v>34</v>
      </c>
      <c r="Q321">
        <v>1</v>
      </c>
      <c r="R321">
        <v>0</v>
      </c>
      <c r="S321" s="2" t="str">
        <f>IFERROR(VLOOKUP(C321,Sheet2!B:E,4,0),C321)</f>
        <v>优惠产品</v>
      </c>
    </row>
    <row r="322" spans="1:19" x14ac:dyDescent="0.2">
      <c r="A322" t="s">
        <v>2139</v>
      </c>
      <c r="B322">
        <v>3100</v>
      </c>
      <c r="C322" t="s">
        <v>26</v>
      </c>
      <c r="D322" t="s">
        <v>50</v>
      </c>
      <c r="E322" t="s">
        <v>1445</v>
      </c>
      <c r="F322" t="s">
        <v>1092</v>
      </c>
      <c r="G322" s="2" t="s">
        <v>1093</v>
      </c>
      <c r="H322" t="s">
        <v>18</v>
      </c>
      <c r="I322" t="s">
        <v>930</v>
      </c>
      <c r="J322" t="s">
        <v>930</v>
      </c>
      <c r="K322" t="s">
        <v>548</v>
      </c>
      <c r="L322" t="s">
        <v>930</v>
      </c>
      <c r="M322" t="s">
        <v>549</v>
      </c>
      <c r="N322" t="s">
        <v>32</v>
      </c>
      <c r="O322" t="s">
        <v>33</v>
      </c>
      <c r="P322" t="s">
        <v>34</v>
      </c>
      <c r="Q322">
        <v>1</v>
      </c>
      <c r="R322">
        <v>0</v>
      </c>
      <c r="S322" s="2" t="str">
        <f>IFERROR(VLOOKUP(C322,Sheet2!B:E,4,0),C322)</f>
        <v>一般产品</v>
      </c>
    </row>
    <row r="323" spans="1:19" x14ac:dyDescent="0.2">
      <c r="A323" t="s">
        <v>2140</v>
      </c>
      <c r="B323">
        <v>3010</v>
      </c>
      <c r="C323" t="s">
        <v>26</v>
      </c>
      <c r="D323" t="s">
        <v>970</v>
      </c>
      <c r="E323" t="s">
        <v>843</v>
      </c>
      <c r="F323" t="s">
        <v>1094</v>
      </c>
      <c r="G323" s="2" t="s">
        <v>1095</v>
      </c>
      <c r="H323" t="s">
        <v>18</v>
      </c>
      <c r="I323" t="s">
        <v>121</v>
      </c>
      <c r="J323" t="s">
        <v>122</v>
      </c>
      <c r="K323" t="s">
        <v>930</v>
      </c>
      <c r="L323" t="s">
        <v>930</v>
      </c>
      <c r="M323" t="s">
        <v>123</v>
      </c>
      <c r="N323" t="s">
        <v>55</v>
      </c>
      <c r="O323" t="s">
        <v>33</v>
      </c>
      <c r="P323" t="s">
        <v>34</v>
      </c>
      <c r="Q323">
        <v>1</v>
      </c>
      <c r="R323">
        <v>0</v>
      </c>
      <c r="S323" s="2" t="str">
        <f>IFERROR(VLOOKUP(C323,Sheet2!B:E,4,0),C323)</f>
        <v>一般产品</v>
      </c>
    </row>
    <row r="324" spans="1:19" x14ac:dyDescent="0.2">
      <c r="A324" t="s">
        <v>2141</v>
      </c>
      <c r="B324">
        <v>2999</v>
      </c>
      <c r="C324" t="s">
        <v>2142</v>
      </c>
      <c r="D324" t="s">
        <v>726</v>
      </c>
      <c r="E324" t="s">
        <v>1134</v>
      </c>
      <c r="F324" t="s">
        <v>452</v>
      </c>
      <c r="G324" s="2" t="s">
        <v>453</v>
      </c>
      <c r="H324" t="s">
        <v>18</v>
      </c>
      <c r="I324" t="s">
        <v>379</v>
      </c>
      <c r="J324" t="s">
        <v>380</v>
      </c>
      <c r="K324" t="s">
        <v>930</v>
      </c>
      <c r="L324" t="s">
        <v>930</v>
      </c>
      <c r="M324" t="s">
        <v>381</v>
      </c>
      <c r="N324" t="s">
        <v>46</v>
      </c>
      <c r="O324" t="s">
        <v>63</v>
      </c>
      <c r="P324" t="s">
        <v>34</v>
      </c>
      <c r="Q324">
        <v>1</v>
      </c>
      <c r="R324">
        <v>0</v>
      </c>
      <c r="S324" s="2" t="str">
        <f>IFERROR(VLOOKUP(C324,Sheet2!B:E,4,0),C324)</f>
        <v>特别6</v>
      </c>
    </row>
    <row r="325" spans="1:19" x14ac:dyDescent="0.2">
      <c r="A325" t="s">
        <v>2143</v>
      </c>
      <c r="B325">
        <v>3498</v>
      </c>
      <c r="C325" t="s">
        <v>26</v>
      </c>
      <c r="D325" t="s">
        <v>972</v>
      </c>
      <c r="E325" t="s">
        <v>394</v>
      </c>
      <c r="F325" t="s">
        <v>395</v>
      </c>
      <c r="G325" s="2" t="s">
        <v>396</v>
      </c>
      <c r="H325" t="s">
        <v>18</v>
      </c>
      <c r="I325" t="s">
        <v>250</v>
      </c>
      <c r="J325" t="s">
        <v>251</v>
      </c>
      <c r="K325" t="s">
        <v>930</v>
      </c>
      <c r="L325" t="s">
        <v>930</v>
      </c>
      <c r="M325" t="s">
        <v>252</v>
      </c>
      <c r="N325" t="s">
        <v>44</v>
      </c>
      <c r="O325" t="s">
        <v>24</v>
      </c>
      <c r="P325" t="s">
        <v>25</v>
      </c>
      <c r="Q325">
        <v>1</v>
      </c>
      <c r="R325">
        <v>0</v>
      </c>
      <c r="S325" s="2" t="str">
        <f>IFERROR(VLOOKUP(C325,Sheet2!B:E,4,0),C325)</f>
        <v>一般产品</v>
      </c>
    </row>
    <row r="326" spans="1:19" x14ac:dyDescent="0.2">
      <c r="A326" t="s">
        <v>2144</v>
      </c>
      <c r="B326">
        <v>3299</v>
      </c>
      <c r="C326" t="s">
        <v>26</v>
      </c>
      <c r="D326" t="s">
        <v>970</v>
      </c>
      <c r="E326" t="s">
        <v>2145</v>
      </c>
      <c r="F326" t="s">
        <v>1077</v>
      </c>
      <c r="G326" s="2" t="s">
        <v>1078</v>
      </c>
      <c r="H326" t="s">
        <v>28</v>
      </c>
      <c r="I326" t="s">
        <v>295</v>
      </c>
      <c r="J326" t="s">
        <v>296</v>
      </c>
      <c r="K326" t="s">
        <v>930</v>
      </c>
      <c r="L326" t="s">
        <v>930</v>
      </c>
      <c r="M326" t="s">
        <v>297</v>
      </c>
      <c r="N326" t="s">
        <v>51</v>
      </c>
      <c r="O326" t="s">
        <v>33</v>
      </c>
      <c r="P326" t="s">
        <v>34</v>
      </c>
      <c r="Q326">
        <v>1</v>
      </c>
      <c r="R326">
        <v>0</v>
      </c>
      <c r="S326" s="2" t="str">
        <f>IFERROR(VLOOKUP(C326,Sheet2!B:E,4,0),C326)</f>
        <v>一般产品</v>
      </c>
    </row>
    <row r="327" spans="1:19" x14ac:dyDescent="0.2">
      <c r="A327" t="s">
        <v>2146</v>
      </c>
      <c r="B327">
        <v>3498</v>
      </c>
      <c r="C327" t="s">
        <v>26</v>
      </c>
      <c r="D327" t="s">
        <v>970</v>
      </c>
      <c r="E327" t="s">
        <v>1511</v>
      </c>
      <c r="F327" t="s">
        <v>2147</v>
      </c>
      <c r="G327" s="2" t="s">
        <v>2148</v>
      </c>
      <c r="H327" t="s">
        <v>18</v>
      </c>
      <c r="I327" t="s">
        <v>930</v>
      </c>
      <c r="J327" t="s">
        <v>930</v>
      </c>
      <c r="K327" t="s">
        <v>347</v>
      </c>
      <c r="L327" t="s">
        <v>930</v>
      </c>
      <c r="M327" t="s">
        <v>348</v>
      </c>
      <c r="N327" t="s">
        <v>61</v>
      </c>
      <c r="O327" t="s">
        <v>39</v>
      </c>
      <c r="P327" t="s">
        <v>25</v>
      </c>
      <c r="Q327">
        <v>1</v>
      </c>
      <c r="R327">
        <v>0</v>
      </c>
      <c r="S327" s="2" t="str">
        <f>IFERROR(VLOOKUP(C327,Sheet2!B:E,4,0),C327)</f>
        <v>一般产品</v>
      </c>
    </row>
    <row r="328" spans="1:19" x14ac:dyDescent="0.2">
      <c r="A328" t="s">
        <v>2149</v>
      </c>
      <c r="B328">
        <v>1999</v>
      </c>
      <c r="C328" t="s">
        <v>26</v>
      </c>
      <c r="D328" t="s">
        <v>50</v>
      </c>
      <c r="E328" t="s">
        <v>1063</v>
      </c>
      <c r="F328" t="s">
        <v>2150</v>
      </c>
      <c r="G328" s="2" t="s">
        <v>2151</v>
      </c>
      <c r="H328" t="s">
        <v>18</v>
      </c>
      <c r="I328" t="s">
        <v>207</v>
      </c>
      <c r="J328" t="s">
        <v>208</v>
      </c>
      <c r="K328" t="s">
        <v>930</v>
      </c>
      <c r="L328" t="s">
        <v>930</v>
      </c>
      <c r="M328" t="s">
        <v>209</v>
      </c>
      <c r="N328" t="s">
        <v>32</v>
      </c>
      <c r="O328" t="s">
        <v>33</v>
      </c>
      <c r="P328" t="s">
        <v>34</v>
      </c>
      <c r="Q328">
        <v>1</v>
      </c>
      <c r="R328">
        <v>0</v>
      </c>
      <c r="S328" s="2" t="str">
        <f>IFERROR(VLOOKUP(C328,Sheet2!B:E,4,0),C328)</f>
        <v>一般产品</v>
      </c>
    </row>
    <row r="329" spans="1:19" x14ac:dyDescent="0.2">
      <c r="A329" t="s">
        <v>2152</v>
      </c>
      <c r="B329">
        <v>2500</v>
      </c>
      <c r="C329" t="s">
        <v>589</v>
      </c>
      <c r="D329" t="s">
        <v>50</v>
      </c>
      <c r="E329" t="s">
        <v>1159</v>
      </c>
      <c r="F329" t="s">
        <v>1181</v>
      </c>
      <c r="G329" s="2" t="s">
        <v>1182</v>
      </c>
      <c r="H329" t="s">
        <v>18</v>
      </c>
      <c r="I329" t="s">
        <v>198</v>
      </c>
      <c r="J329" t="s">
        <v>199</v>
      </c>
      <c r="K329" t="s">
        <v>930</v>
      </c>
      <c r="L329" t="s">
        <v>930</v>
      </c>
      <c r="M329" t="s">
        <v>1048</v>
      </c>
      <c r="N329" t="s">
        <v>108</v>
      </c>
      <c r="O329" t="s">
        <v>33</v>
      </c>
      <c r="P329" t="s">
        <v>34</v>
      </c>
      <c r="Q329">
        <v>1</v>
      </c>
      <c r="R329">
        <v>0</v>
      </c>
      <c r="S329" s="2" t="str">
        <f>IFERROR(VLOOKUP(C329,Sheet2!B:E,4,0),C329)</f>
        <v>优惠产品</v>
      </c>
    </row>
    <row r="330" spans="1:19" x14ac:dyDescent="0.2">
      <c r="A330" t="s">
        <v>2153</v>
      </c>
      <c r="B330">
        <v>1810</v>
      </c>
      <c r="C330" t="s">
        <v>26</v>
      </c>
      <c r="D330" t="s">
        <v>50</v>
      </c>
      <c r="E330" t="s">
        <v>940</v>
      </c>
      <c r="F330" t="s">
        <v>2154</v>
      </c>
      <c r="G330" s="2" t="s">
        <v>2155</v>
      </c>
      <c r="H330" t="s">
        <v>18</v>
      </c>
      <c r="I330" t="s">
        <v>930</v>
      </c>
      <c r="J330" t="s">
        <v>930</v>
      </c>
      <c r="K330" t="s">
        <v>235</v>
      </c>
      <c r="L330" t="s">
        <v>930</v>
      </c>
      <c r="M330" t="s">
        <v>236</v>
      </c>
      <c r="N330" t="s">
        <v>55</v>
      </c>
      <c r="O330" t="s">
        <v>33</v>
      </c>
      <c r="P330" t="s">
        <v>34</v>
      </c>
      <c r="Q330">
        <v>1</v>
      </c>
      <c r="R330">
        <v>0</v>
      </c>
      <c r="S330" s="2" t="str">
        <f>IFERROR(VLOOKUP(C330,Sheet2!B:E,4,0),C330)</f>
        <v>一般产品</v>
      </c>
    </row>
    <row r="331" spans="1:19" x14ac:dyDescent="0.2">
      <c r="A331" t="s">
        <v>2156</v>
      </c>
      <c r="B331">
        <v>2498</v>
      </c>
      <c r="C331" t="s">
        <v>575</v>
      </c>
      <c r="D331" t="s">
        <v>970</v>
      </c>
      <c r="E331" t="s">
        <v>2157</v>
      </c>
      <c r="F331" t="s">
        <v>784</v>
      </c>
      <c r="G331" s="2" t="s">
        <v>785</v>
      </c>
      <c r="H331" t="s">
        <v>18</v>
      </c>
      <c r="I331" t="s">
        <v>139</v>
      </c>
      <c r="J331" t="s">
        <v>140</v>
      </c>
      <c r="K331" t="s">
        <v>930</v>
      </c>
      <c r="L331" t="s">
        <v>930</v>
      </c>
      <c r="M331" t="s">
        <v>141</v>
      </c>
      <c r="N331" t="s">
        <v>136</v>
      </c>
      <c r="O331" t="s">
        <v>95</v>
      </c>
      <c r="P331" t="s">
        <v>90</v>
      </c>
      <c r="Q331">
        <v>1</v>
      </c>
      <c r="R331">
        <v>0</v>
      </c>
      <c r="S331" s="2" t="str">
        <f>IFERROR(VLOOKUP(C331,Sheet2!B:E,4,0),C331)</f>
        <v>优惠产品</v>
      </c>
    </row>
    <row r="332" spans="1:19" x14ac:dyDescent="0.2">
      <c r="A332" t="s">
        <v>2158</v>
      </c>
      <c r="B332">
        <v>3000</v>
      </c>
      <c r="C332" t="s">
        <v>589</v>
      </c>
      <c r="D332" t="s">
        <v>970</v>
      </c>
      <c r="E332" t="s">
        <v>2159</v>
      </c>
      <c r="F332" t="s">
        <v>2160</v>
      </c>
      <c r="G332" s="2" t="s">
        <v>2161</v>
      </c>
      <c r="H332" t="s">
        <v>18</v>
      </c>
      <c r="I332" t="s">
        <v>156</v>
      </c>
      <c r="J332" t="s">
        <v>157</v>
      </c>
      <c r="K332" t="s">
        <v>930</v>
      </c>
      <c r="L332" t="s">
        <v>930</v>
      </c>
      <c r="M332" t="s">
        <v>158</v>
      </c>
      <c r="N332" t="s">
        <v>146</v>
      </c>
      <c r="O332" t="s">
        <v>33</v>
      </c>
      <c r="P332" t="s">
        <v>34</v>
      </c>
      <c r="Q332">
        <v>1</v>
      </c>
      <c r="R332">
        <v>0</v>
      </c>
      <c r="S332" s="2" t="str">
        <f>IFERROR(VLOOKUP(C332,Sheet2!B:E,4,0),C332)</f>
        <v>优惠产品</v>
      </c>
    </row>
    <row r="333" spans="1:19" x14ac:dyDescent="0.2">
      <c r="A333" t="s">
        <v>2162</v>
      </c>
      <c r="B333">
        <v>2798</v>
      </c>
      <c r="C333" t="s">
        <v>26</v>
      </c>
      <c r="D333" t="s">
        <v>971</v>
      </c>
      <c r="E333" t="s">
        <v>2163</v>
      </c>
      <c r="F333" t="s">
        <v>1125</v>
      </c>
      <c r="G333" s="2" t="s">
        <v>1126</v>
      </c>
      <c r="H333" t="s">
        <v>18</v>
      </c>
      <c r="I333" t="s">
        <v>147</v>
      </c>
      <c r="J333" t="s">
        <v>148</v>
      </c>
      <c r="K333" t="s">
        <v>930</v>
      </c>
      <c r="L333" t="s">
        <v>930</v>
      </c>
      <c r="M333" t="s">
        <v>149</v>
      </c>
      <c r="N333" t="s">
        <v>73</v>
      </c>
      <c r="O333" t="s">
        <v>24</v>
      </c>
      <c r="P333" t="s">
        <v>25</v>
      </c>
      <c r="Q333">
        <v>1</v>
      </c>
      <c r="R333">
        <v>0</v>
      </c>
      <c r="S333" s="2" t="str">
        <f>IFERROR(VLOOKUP(C333,Sheet2!B:E,4,0),C333)</f>
        <v>一般产品</v>
      </c>
    </row>
    <row r="334" spans="1:19" x14ac:dyDescent="0.2">
      <c r="A334" t="s">
        <v>2164</v>
      </c>
      <c r="B334">
        <v>2599</v>
      </c>
      <c r="C334" t="s">
        <v>580</v>
      </c>
      <c r="D334" t="s">
        <v>50</v>
      </c>
      <c r="E334" t="s">
        <v>1222</v>
      </c>
      <c r="F334" t="s">
        <v>516</v>
      </c>
      <c r="G334" s="2" t="s">
        <v>517</v>
      </c>
      <c r="H334" t="s">
        <v>18</v>
      </c>
      <c r="I334" t="s">
        <v>343</v>
      </c>
      <c r="J334" t="s">
        <v>344</v>
      </c>
      <c r="K334" t="s">
        <v>930</v>
      </c>
      <c r="L334" t="s">
        <v>930</v>
      </c>
      <c r="M334" t="s">
        <v>345</v>
      </c>
      <c r="N334" t="s">
        <v>114</v>
      </c>
      <c r="O334" t="s">
        <v>24</v>
      </c>
      <c r="P334" t="s">
        <v>25</v>
      </c>
      <c r="Q334">
        <v>1</v>
      </c>
      <c r="R334">
        <v>0</v>
      </c>
      <c r="S334" s="2" t="str">
        <f>IFERROR(VLOOKUP(C334,Sheet2!B:E,4,0),C334)</f>
        <v>10期贷</v>
      </c>
    </row>
    <row r="335" spans="1:19" x14ac:dyDescent="0.2">
      <c r="A335" t="s">
        <v>2165</v>
      </c>
      <c r="B335">
        <v>2099</v>
      </c>
      <c r="C335" t="s">
        <v>580</v>
      </c>
      <c r="D335" t="s">
        <v>50</v>
      </c>
      <c r="E335" t="s">
        <v>2062</v>
      </c>
      <c r="F335" t="s">
        <v>1082</v>
      </c>
      <c r="G335" s="2" t="s">
        <v>1083</v>
      </c>
      <c r="H335" t="s">
        <v>28</v>
      </c>
      <c r="I335" t="s">
        <v>343</v>
      </c>
      <c r="J335" t="s">
        <v>344</v>
      </c>
      <c r="K335" t="s">
        <v>930</v>
      </c>
      <c r="L335" t="s">
        <v>930</v>
      </c>
      <c r="M335" t="s">
        <v>345</v>
      </c>
      <c r="N335" t="s">
        <v>114</v>
      </c>
      <c r="O335" t="s">
        <v>24</v>
      </c>
      <c r="P335" t="s">
        <v>25</v>
      </c>
      <c r="Q335">
        <v>1</v>
      </c>
      <c r="R335">
        <v>0</v>
      </c>
      <c r="S335" s="2" t="str">
        <f>IFERROR(VLOOKUP(C335,Sheet2!B:E,4,0),C335)</f>
        <v>10期贷</v>
      </c>
    </row>
    <row r="336" spans="1:19" x14ac:dyDescent="0.2">
      <c r="A336" t="s">
        <v>2166</v>
      </c>
      <c r="B336">
        <v>2798</v>
      </c>
      <c r="C336" t="s">
        <v>575</v>
      </c>
      <c r="D336" t="s">
        <v>971</v>
      </c>
      <c r="E336" t="s">
        <v>2167</v>
      </c>
      <c r="F336" t="s">
        <v>1411</v>
      </c>
      <c r="G336" s="2" t="s">
        <v>1412</v>
      </c>
      <c r="H336" t="s">
        <v>18</v>
      </c>
      <c r="I336" t="s">
        <v>211</v>
      </c>
      <c r="J336" t="s">
        <v>212</v>
      </c>
      <c r="K336" t="s">
        <v>930</v>
      </c>
      <c r="L336" t="s">
        <v>930</v>
      </c>
      <c r="M336" t="s">
        <v>213</v>
      </c>
      <c r="N336" t="s">
        <v>73</v>
      </c>
      <c r="O336" t="s">
        <v>24</v>
      </c>
      <c r="P336" t="s">
        <v>25</v>
      </c>
      <c r="Q336">
        <v>1</v>
      </c>
      <c r="R336">
        <v>0</v>
      </c>
      <c r="S336" s="2" t="str">
        <f>IFERROR(VLOOKUP(C336,Sheet2!B:E,4,0),C336)</f>
        <v>优惠产品</v>
      </c>
    </row>
    <row r="337" spans="1:19" x14ac:dyDescent="0.2">
      <c r="A337" t="s">
        <v>2168</v>
      </c>
      <c r="B337">
        <v>1399</v>
      </c>
      <c r="C337" t="s">
        <v>26</v>
      </c>
      <c r="D337" t="s">
        <v>970</v>
      </c>
      <c r="E337" t="s">
        <v>2169</v>
      </c>
      <c r="F337" t="s">
        <v>2170</v>
      </c>
      <c r="G337" s="2" t="s">
        <v>2171</v>
      </c>
      <c r="H337" t="s">
        <v>28</v>
      </c>
      <c r="I337" t="s">
        <v>207</v>
      </c>
      <c r="J337" t="s">
        <v>208</v>
      </c>
      <c r="K337" t="s">
        <v>930</v>
      </c>
      <c r="L337" t="s">
        <v>930</v>
      </c>
      <c r="M337" t="s">
        <v>209</v>
      </c>
      <c r="N337" t="s">
        <v>32</v>
      </c>
      <c r="O337" t="s">
        <v>33</v>
      </c>
      <c r="P337" t="s">
        <v>34</v>
      </c>
      <c r="Q337">
        <v>1</v>
      </c>
      <c r="R337">
        <v>0</v>
      </c>
      <c r="S337" s="2" t="str">
        <f>IFERROR(VLOOKUP(C337,Sheet2!B:E,4,0),C337)</f>
        <v>一般产品</v>
      </c>
    </row>
    <row r="338" spans="1:19" x14ac:dyDescent="0.2">
      <c r="A338" t="s">
        <v>2172</v>
      </c>
      <c r="B338">
        <v>3000</v>
      </c>
      <c r="C338" t="s">
        <v>26</v>
      </c>
      <c r="D338" t="s">
        <v>972</v>
      </c>
      <c r="E338" t="s">
        <v>2173</v>
      </c>
      <c r="F338" t="s">
        <v>1142</v>
      </c>
      <c r="G338" s="2" t="s">
        <v>1143</v>
      </c>
      <c r="H338" t="s">
        <v>28</v>
      </c>
      <c r="I338" t="s">
        <v>281</v>
      </c>
      <c r="J338" t="s">
        <v>282</v>
      </c>
      <c r="K338" t="s">
        <v>930</v>
      </c>
      <c r="L338" t="s">
        <v>930</v>
      </c>
      <c r="M338" t="s">
        <v>283</v>
      </c>
      <c r="N338" t="s">
        <v>68</v>
      </c>
      <c r="O338" t="s">
        <v>33</v>
      </c>
      <c r="P338" t="s">
        <v>34</v>
      </c>
      <c r="Q338">
        <v>1</v>
      </c>
      <c r="R338">
        <v>0</v>
      </c>
      <c r="S338" s="2" t="str">
        <f>IFERROR(VLOOKUP(C338,Sheet2!B:E,4,0),C338)</f>
        <v>一般产品</v>
      </c>
    </row>
    <row r="339" spans="1:19" x14ac:dyDescent="0.2">
      <c r="A339" t="s">
        <v>2174</v>
      </c>
      <c r="B339">
        <v>1998</v>
      </c>
      <c r="C339" t="s">
        <v>26</v>
      </c>
      <c r="D339" t="s">
        <v>50</v>
      </c>
      <c r="E339" t="s">
        <v>2098</v>
      </c>
      <c r="F339" t="s">
        <v>2175</v>
      </c>
      <c r="G339" s="2" t="s">
        <v>2176</v>
      </c>
      <c r="H339" t="s">
        <v>18</v>
      </c>
      <c r="I339" t="s">
        <v>207</v>
      </c>
      <c r="J339" t="s">
        <v>208</v>
      </c>
      <c r="K339" t="s">
        <v>930</v>
      </c>
      <c r="L339" t="s">
        <v>930</v>
      </c>
      <c r="M339" t="s">
        <v>209</v>
      </c>
      <c r="N339" t="s">
        <v>32</v>
      </c>
      <c r="O339" t="s">
        <v>33</v>
      </c>
      <c r="P339" t="s">
        <v>34</v>
      </c>
      <c r="Q339">
        <v>1</v>
      </c>
      <c r="R339">
        <v>0</v>
      </c>
      <c r="S339" s="2" t="str">
        <f>IFERROR(VLOOKUP(C339,Sheet2!B:E,4,0),C339)</f>
        <v>一般产品</v>
      </c>
    </row>
    <row r="340" spans="1:19" x14ac:dyDescent="0.2">
      <c r="A340" t="s">
        <v>2177</v>
      </c>
      <c r="B340">
        <v>2000</v>
      </c>
      <c r="C340" t="s">
        <v>26</v>
      </c>
      <c r="D340" t="s">
        <v>970</v>
      </c>
      <c r="E340" t="s">
        <v>470</v>
      </c>
      <c r="F340" t="s">
        <v>665</v>
      </c>
      <c r="G340" s="2" t="s">
        <v>666</v>
      </c>
      <c r="H340" t="s">
        <v>18</v>
      </c>
      <c r="I340" t="s">
        <v>164</v>
      </c>
      <c r="J340" t="s">
        <v>165</v>
      </c>
      <c r="K340" t="s">
        <v>930</v>
      </c>
      <c r="L340" t="s">
        <v>930</v>
      </c>
      <c r="M340" t="s">
        <v>166</v>
      </c>
      <c r="N340" t="s">
        <v>55</v>
      </c>
      <c r="O340" t="s">
        <v>33</v>
      </c>
      <c r="P340" t="s">
        <v>34</v>
      </c>
      <c r="Q340">
        <v>1</v>
      </c>
      <c r="R340">
        <v>0</v>
      </c>
      <c r="S340" s="2" t="str">
        <f>IFERROR(VLOOKUP(C340,Sheet2!B:E,4,0),C340)</f>
        <v>一般产品</v>
      </c>
    </row>
    <row r="341" spans="1:19" x14ac:dyDescent="0.2">
      <c r="A341" t="s">
        <v>2178</v>
      </c>
      <c r="B341">
        <v>2000</v>
      </c>
      <c r="C341" t="s">
        <v>575</v>
      </c>
      <c r="D341" t="s">
        <v>50</v>
      </c>
      <c r="E341" t="s">
        <v>2179</v>
      </c>
      <c r="F341" t="s">
        <v>1156</v>
      </c>
      <c r="G341" s="2" t="s">
        <v>1157</v>
      </c>
      <c r="H341" t="s">
        <v>18</v>
      </c>
      <c r="I341" t="s">
        <v>930</v>
      </c>
      <c r="J341" t="s">
        <v>930</v>
      </c>
      <c r="K341" t="s">
        <v>743</v>
      </c>
      <c r="L341" t="s">
        <v>930</v>
      </c>
      <c r="M341" t="s">
        <v>744</v>
      </c>
      <c r="N341" t="s">
        <v>23</v>
      </c>
      <c r="O341" t="s">
        <v>117</v>
      </c>
      <c r="P341" t="s">
        <v>34</v>
      </c>
      <c r="Q341">
        <v>1</v>
      </c>
      <c r="R341">
        <v>0</v>
      </c>
      <c r="S341" s="2" t="str">
        <f>IFERROR(VLOOKUP(C341,Sheet2!B:E,4,0),C341)</f>
        <v>优惠产品</v>
      </c>
    </row>
    <row r="342" spans="1:19" x14ac:dyDescent="0.2">
      <c r="A342" t="s">
        <v>2180</v>
      </c>
      <c r="B342">
        <v>2498</v>
      </c>
      <c r="C342" t="s">
        <v>575</v>
      </c>
      <c r="D342" t="s">
        <v>970</v>
      </c>
      <c r="E342" t="s">
        <v>1210</v>
      </c>
      <c r="F342" t="s">
        <v>1056</v>
      </c>
      <c r="G342" s="2" t="s">
        <v>1057</v>
      </c>
      <c r="H342" t="s">
        <v>18</v>
      </c>
      <c r="I342" t="s">
        <v>266</v>
      </c>
      <c r="J342" t="s">
        <v>267</v>
      </c>
      <c r="K342" t="s">
        <v>930</v>
      </c>
      <c r="L342" t="s">
        <v>930</v>
      </c>
      <c r="M342" t="s">
        <v>268</v>
      </c>
      <c r="N342" t="s">
        <v>185</v>
      </c>
      <c r="O342" t="s">
        <v>39</v>
      </c>
      <c r="P342" t="s">
        <v>25</v>
      </c>
      <c r="Q342">
        <v>1</v>
      </c>
      <c r="R342">
        <v>0</v>
      </c>
      <c r="S342" s="2" t="str">
        <f>IFERROR(VLOOKUP(C342,Sheet2!B:E,4,0),C342)</f>
        <v>优惠产品</v>
      </c>
    </row>
    <row r="343" spans="1:19" x14ac:dyDescent="0.2">
      <c r="A343" t="s">
        <v>2181</v>
      </c>
      <c r="B343">
        <v>3980</v>
      </c>
      <c r="C343" t="s">
        <v>575</v>
      </c>
      <c r="D343" t="s">
        <v>971</v>
      </c>
      <c r="E343" t="s">
        <v>557</v>
      </c>
      <c r="F343" t="s">
        <v>1368</v>
      </c>
      <c r="G343" s="2" t="s">
        <v>1369</v>
      </c>
      <c r="H343" t="s">
        <v>18</v>
      </c>
      <c r="I343" t="s">
        <v>151</v>
      </c>
      <c r="J343" t="s">
        <v>152</v>
      </c>
      <c r="K343" t="s">
        <v>930</v>
      </c>
      <c r="L343" t="s">
        <v>930</v>
      </c>
      <c r="M343" t="s">
        <v>153</v>
      </c>
      <c r="N343" t="s">
        <v>61</v>
      </c>
      <c r="O343" t="s">
        <v>129</v>
      </c>
      <c r="P343" t="s">
        <v>25</v>
      </c>
      <c r="Q343">
        <v>1</v>
      </c>
      <c r="R343">
        <v>0</v>
      </c>
      <c r="S343" s="2" t="str">
        <f>IFERROR(VLOOKUP(C343,Sheet2!B:E,4,0),C343)</f>
        <v>优惠产品</v>
      </c>
    </row>
    <row r="344" spans="1:19" x14ac:dyDescent="0.2">
      <c r="A344" t="s">
        <v>2182</v>
      </c>
      <c r="B344">
        <v>3509</v>
      </c>
      <c r="C344" t="s">
        <v>26</v>
      </c>
      <c r="D344" t="s">
        <v>970</v>
      </c>
      <c r="E344" t="s">
        <v>1887</v>
      </c>
      <c r="F344" t="s">
        <v>1436</v>
      </c>
      <c r="G344" s="2" t="s">
        <v>1437</v>
      </c>
      <c r="H344" t="s">
        <v>18</v>
      </c>
      <c r="I344" t="s">
        <v>81</v>
      </c>
      <c r="J344" t="s">
        <v>1230</v>
      </c>
      <c r="K344" t="s">
        <v>930</v>
      </c>
      <c r="L344" t="s">
        <v>930</v>
      </c>
      <c r="M344" t="s">
        <v>1231</v>
      </c>
      <c r="N344" t="s">
        <v>68</v>
      </c>
      <c r="O344" t="s">
        <v>33</v>
      </c>
      <c r="P344" t="s">
        <v>34</v>
      </c>
      <c r="Q344">
        <v>1</v>
      </c>
      <c r="R344">
        <v>0</v>
      </c>
      <c r="S344" s="2" t="str">
        <f>IFERROR(VLOOKUP(C344,Sheet2!B:E,4,0),C344)</f>
        <v>一般产品</v>
      </c>
    </row>
    <row r="345" spans="1:19" x14ac:dyDescent="0.2">
      <c r="A345" t="s">
        <v>2183</v>
      </c>
      <c r="B345">
        <v>5500</v>
      </c>
      <c r="C345" t="s">
        <v>26</v>
      </c>
      <c r="D345" t="s">
        <v>970</v>
      </c>
      <c r="E345" t="s">
        <v>1072</v>
      </c>
      <c r="F345" t="s">
        <v>532</v>
      </c>
      <c r="G345" s="2" t="s">
        <v>533</v>
      </c>
      <c r="H345" t="s">
        <v>28</v>
      </c>
      <c r="I345" t="s">
        <v>255</v>
      </c>
      <c r="J345" t="s">
        <v>256</v>
      </c>
      <c r="K345" t="s">
        <v>930</v>
      </c>
      <c r="L345" t="s">
        <v>930</v>
      </c>
      <c r="M345" t="s">
        <v>257</v>
      </c>
      <c r="N345" t="s">
        <v>47</v>
      </c>
      <c r="O345" t="s">
        <v>33</v>
      </c>
      <c r="P345" t="s">
        <v>34</v>
      </c>
      <c r="Q345">
        <v>1</v>
      </c>
      <c r="R345">
        <v>0</v>
      </c>
      <c r="S345" s="2" t="str">
        <f>IFERROR(VLOOKUP(C345,Sheet2!B:E,4,0),C345)</f>
        <v>一般产品</v>
      </c>
    </row>
    <row r="346" spans="1:19" x14ac:dyDescent="0.2">
      <c r="A346" t="s">
        <v>2184</v>
      </c>
      <c r="B346">
        <v>4400</v>
      </c>
      <c r="C346" t="s">
        <v>26</v>
      </c>
      <c r="D346" t="s">
        <v>970</v>
      </c>
      <c r="E346" t="s">
        <v>1072</v>
      </c>
      <c r="F346" t="s">
        <v>532</v>
      </c>
      <c r="G346" s="2" t="s">
        <v>533</v>
      </c>
      <c r="H346" t="s">
        <v>28</v>
      </c>
      <c r="I346" t="s">
        <v>255</v>
      </c>
      <c r="J346" t="s">
        <v>256</v>
      </c>
      <c r="K346" t="s">
        <v>930</v>
      </c>
      <c r="L346" t="s">
        <v>930</v>
      </c>
      <c r="M346" t="s">
        <v>257</v>
      </c>
      <c r="N346" t="s">
        <v>47</v>
      </c>
      <c r="O346" t="s">
        <v>33</v>
      </c>
      <c r="P346" t="s">
        <v>34</v>
      </c>
      <c r="Q346">
        <v>1</v>
      </c>
      <c r="R346">
        <v>0</v>
      </c>
      <c r="S346" s="2" t="str">
        <f>IFERROR(VLOOKUP(C346,Sheet2!B:E,4,0),C346)</f>
        <v>一般产品</v>
      </c>
    </row>
    <row r="347" spans="1:19" x14ac:dyDescent="0.2">
      <c r="A347" t="s">
        <v>2185</v>
      </c>
      <c r="B347">
        <v>3498</v>
      </c>
      <c r="C347" t="s">
        <v>575</v>
      </c>
      <c r="D347" t="s">
        <v>970</v>
      </c>
      <c r="E347" t="s">
        <v>2186</v>
      </c>
      <c r="F347" t="s">
        <v>264</v>
      </c>
      <c r="G347" s="2" t="s">
        <v>265</v>
      </c>
      <c r="H347" t="s">
        <v>18</v>
      </c>
      <c r="I347" t="s">
        <v>179</v>
      </c>
      <c r="J347" t="s">
        <v>180</v>
      </c>
      <c r="K347" t="s">
        <v>930</v>
      </c>
      <c r="L347" t="s">
        <v>930</v>
      </c>
      <c r="M347" t="s">
        <v>181</v>
      </c>
      <c r="N347" t="s">
        <v>38</v>
      </c>
      <c r="O347" t="s">
        <v>39</v>
      </c>
      <c r="P347" t="s">
        <v>25</v>
      </c>
      <c r="Q347">
        <v>1</v>
      </c>
      <c r="R347">
        <v>0</v>
      </c>
      <c r="S347" s="2" t="str">
        <f>IFERROR(VLOOKUP(C347,Sheet2!B:E,4,0),C347)</f>
        <v>优惠产品</v>
      </c>
    </row>
    <row r="348" spans="1:19" x14ac:dyDescent="0.2">
      <c r="A348" t="s">
        <v>2187</v>
      </c>
      <c r="B348">
        <v>2798</v>
      </c>
      <c r="C348" t="s">
        <v>26</v>
      </c>
      <c r="D348" t="s">
        <v>971</v>
      </c>
      <c r="E348" t="s">
        <v>1308</v>
      </c>
      <c r="F348" t="s">
        <v>1370</v>
      </c>
      <c r="G348" s="2" t="s">
        <v>1371</v>
      </c>
      <c r="H348" t="s">
        <v>18</v>
      </c>
      <c r="I348" t="s">
        <v>379</v>
      </c>
      <c r="J348" t="s">
        <v>380</v>
      </c>
      <c r="K348" t="s">
        <v>930</v>
      </c>
      <c r="L348" t="s">
        <v>930</v>
      </c>
      <c r="M348" t="s">
        <v>381</v>
      </c>
      <c r="N348" t="s">
        <v>46</v>
      </c>
      <c r="O348" t="s">
        <v>63</v>
      </c>
      <c r="P348" t="s">
        <v>34</v>
      </c>
      <c r="Q348">
        <v>1</v>
      </c>
      <c r="R348">
        <v>0</v>
      </c>
      <c r="S348" s="2" t="str">
        <f>IFERROR(VLOOKUP(C348,Sheet2!B:E,4,0),C348)</f>
        <v>一般产品</v>
      </c>
    </row>
    <row r="349" spans="1:19" x14ac:dyDescent="0.2">
      <c r="A349" t="s">
        <v>2188</v>
      </c>
      <c r="B349">
        <v>2700</v>
      </c>
      <c r="C349" t="s">
        <v>575</v>
      </c>
      <c r="D349" t="s">
        <v>726</v>
      </c>
      <c r="E349" t="s">
        <v>2189</v>
      </c>
      <c r="F349" t="s">
        <v>1176</v>
      </c>
      <c r="G349" s="2" t="s">
        <v>1177</v>
      </c>
      <c r="H349" t="s">
        <v>18</v>
      </c>
      <c r="I349" t="s">
        <v>930</v>
      </c>
      <c r="J349" t="s">
        <v>930</v>
      </c>
      <c r="K349" t="s">
        <v>756</v>
      </c>
      <c r="L349" t="s">
        <v>930</v>
      </c>
      <c r="M349" t="s">
        <v>757</v>
      </c>
      <c r="N349" t="s">
        <v>62</v>
      </c>
      <c r="O349" t="s">
        <v>117</v>
      </c>
      <c r="P349" t="s">
        <v>34</v>
      </c>
      <c r="Q349">
        <v>1</v>
      </c>
      <c r="R349">
        <v>0</v>
      </c>
      <c r="S349" s="2" t="str">
        <f>IFERROR(VLOOKUP(C349,Sheet2!B:E,4,0),C349)</f>
        <v>优惠产品</v>
      </c>
    </row>
    <row r="350" spans="1:19" x14ac:dyDescent="0.2">
      <c r="A350" t="s">
        <v>2190</v>
      </c>
      <c r="B350">
        <v>2998</v>
      </c>
      <c r="C350" t="s">
        <v>26</v>
      </c>
      <c r="D350" t="s">
        <v>971</v>
      </c>
      <c r="E350" t="s">
        <v>1308</v>
      </c>
      <c r="F350" t="s">
        <v>1370</v>
      </c>
      <c r="G350" s="2" t="s">
        <v>1371</v>
      </c>
      <c r="H350" t="s">
        <v>18</v>
      </c>
      <c r="I350" t="s">
        <v>379</v>
      </c>
      <c r="J350" t="s">
        <v>380</v>
      </c>
      <c r="K350" t="s">
        <v>930</v>
      </c>
      <c r="L350" t="s">
        <v>930</v>
      </c>
      <c r="M350" t="s">
        <v>381</v>
      </c>
      <c r="N350" t="s">
        <v>46</v>
      </c>
      <c r="O350" t="s">
        <v>63</v>
      </c>
      <c r="P350" t="s">
        <v>34</v>
      </c>
      <c r="Q350">
        <v>1</v>
      </c>
      <c r="R350">
        <v>0</v>
      </c>
      <c r="S350" s="2" t="str">
        <f>IFERROR(VLOOKUP(C350,Sheet2!B:E,4,0),C350)</f>
        <v>一般产品</v>
      </c>
    </row>
    <row r="351" spans="1:19" x14ac:dyDescent="0.2">
      <c r="A351" t="s">
        <v>2191</v>
      </c>
      <c r="B351">
        <v>1798</v>
      </c>
      <c r="C351" t="s">
        <v>589</v>
      </c>
      <c r="D351" t="s">
        <v>970</v>
      </c>
      <c r="E351" t="s">
        <v>2192</v>
      </c>
      <c r="F351" t="s">
        <v>2193</v>
      </c>
      <c r="G351" s="2" t="s">
        <v>2194</v>
      </c>
      <c r="H351" t="s">
        <v>18</v>
      </c>
      <c r="I351" t="s">
        <v>237</v>
      </c>
      <c r="J351" t="s">
        <v>238</v>
      </c>
      <c r="K351" t="s">
        <v>930</v>
      </c>
      <c r="L351" t="s">
        <v>930</v>
      </c>
      <c r="M351" t="s">
        <v>239</v>
      </c>
      <c r="N351" t="s">
        <v>85</v>
      </c>
      <c r="O351" t="s">
        <v>33</v>
      </c>
      <c r="P351" t="s">
        <v>34</v>
      </c>
      <c r="Q351">
        <v>1</v>
      </c>
      <c r="R351">
        <v>0</v>
      </c>
      <c r="S351" s="2" t="str">
        <f>IFERROR(VLOOKUP(C351,Sheet2!B:E,4,0),C351)</f>
        <v>优惠产品</v>
      </c>
    </row>
    <row r="352" spans="1:19" x14ac:dyDescent="0.2">
      <c r="A352" t="s">
        <v>2195</v>
      </c>
      <c r="B352">
        <v>3799</v>
      </c>
      <c r="C352" t="s">
        <v>589</v>
      </c>
      <c r="D352" t="s">
        <v>972</v>
      </c>
      <c r="E352" t="s">
        <v>957</v>
      </c>
      <c r="F352" t="s">
        <v>992</v>
      </c>
      <c r="G352" s="2" t="s">
        <v>993</v>
      </c>
      <c r="H352" t="s">
        <v>18</v>
      </c>
      <c r="I352" t="s">
        <v>76</v>
      </c>
      <c r="J352" t="s">
        <v>77</v>
      </c>
      <c r="K352" t="s">
        <v>930</v>
      </c>
      <c r="L352" t="s">
        <v>930</v>
      </c>
      <c r="M352" t="s">
        <v>78</v>
      </c>
      <c r="N352" t="s">
        <v>44</v>
      </c>
      <c r="O352" t="s">
        <v>24</v>
      </c>
      <c r="P352" t="s">
        <v>25</v>
      </c>
      <c r="Q352">
        <v>1</v>
      </c>
      <c r="R352">
        <v>0</v>
      </c>
      <c r="S352" s="2" t="str">
        <f>IFERROR(VLOOKUP(C352,Sheet2!B:E,4,0),C352)</f>
        <v>优惠产品</v>
      </c>
    </row>
    <row r="353" spans="1:19" x14ac:dyDescent="0.2">
      <c r="A353" t="s">
        <v>2196</v>
      </c>
      <c r="B353">
        <v>2299</v>
      </c>
      <c r="C353" t="s">
        <v>575</v>
      </c>
      <c r="D353" t="s">
        <v>971</v>
      </c>
      <c r="E353" t="s">
        <v>2197</v>
      </c>
      <c r="F353" t="s">
        <v>598</v>
      </c>
      <c r="G353" s="2" t="s">
        <v>599</v>
      </c>
      <c r="H353" t="s">
        <v>18</v>
      </c>
      <c r="I353" t="s">
        <v>133</v>
      </c>
      <c r="J353" t="s">
        <v>134</v>
      </c>
      <c r="K353" t="s">
        <v>930</v>
      </c>
      <c r="L353" t="s">
        <v>930</v>
      </c>
      <c r="M353" t="s">
        <v>135</v>
      </c>
      <c r="N353" t="s">
        <v>73</v>
      </c>
      <c r="O353" t="s">
        <v>24</v>
      </c>
      <c r="P353" t="s">
        <v>25</v>
      </c>
      <c r="Q353">
        <v>1</v>
      </c>
      <c r="R353">
        <v>0</v>
      </c>
      <c r="S353" s="2" t="str">
        <f>IFERROR(VLOOKUP(C353,Sheet2!B:E,4,0),C353)</f>
        <v>优惠产品</v>
      </c>
    </row>
    <row r="354" spans="1:19" x14ac:dyDescent="0.2">
      <c r="A354" t="s">
        <v>2198</v>
      </c>
      <c r="B354">
        <v>2999</v>
      </c>
      <c r="C354" t="s">
        <v>26</v>
      </c>
      <c r="D354" t="s">
        <v>972</v>
      </c>
      <c r="E354" t="s">
        <v>2199</v>
      </c>
      <c r="F354" t="s">
        <v>2200</v>
      </c>
      <c r="G354" s="2" t="s">
        <v>2201</v>
      </c>
      <c r="H354" t="s">
        <v>18</v>
      </c>
      <c r="I354" t="s">
        <v>401</v>
      </c>
      <c r="J354" t="s">
        <v>402</v>
      </c>
      <c r="K354" t="s">
        <v>930</v>
      </c>
      <c r="L354" t="s">
        <v>930</v>
      </c>
      <c r="M354" t="s">
        <v>403</v>
      </c>
      <c r="N354" t="s">
        <v>68</v>
      </c>
      <c r="O354" t="s">
        <v>33</v>
      </c>
      <c r="P354" t="s">
        <v>34</v>
      </c>
      <c r="Q354">
        <v>1</v>
      </c>
      <c r="R354">
        <v>0</v>
      </c>
      <c r="S354" s="2" t="str">
        <f>IFERROR(VLOOKUP(C354,Sheet2!B:E,4,0),C354)</f>
        <v>一般产品</v>
      </c>
    </row>
    <row r="355" spans="1:19" x14ac:dyDescent="0.2">
      <c r="A355" t="s">
        <v>2202</v>
      </c>
      <c r="B355">
        <v>5200</v>
      </c>
      <c r="C355" t="s">
        <v>26</v>
      </c>
      <c r="D355" t="s">
        <v>970</v>
      </c>
      <c r="E355" t="s">
        <v>843</v>
      </c>
      <c r="F355" t="s">
        <v>1026</v>
      </c>
      <c r="G355" s="2" t="s">
        <v>1027</v>
      </c>
      <c r="H355" t="s">
        <v>18</v>
      </c>
      <c r="I355" t="s">
        <v>121</v>
      </c>
      <c r="J355" t="s">
        <v>122</v>
      </c>
      <c r="K355" t="s">
        <v>930</v>
      </c>
      <c r="L355" t="s">
        <v>930</v>
      </c>
      <c r="M355" t="s">
        <v>123</v>
      </c>
      <c r="N355" t="s">
        <v>55</v>
      </c>
      <c r="O355" t="s">
        <v>33</v>
      </c>
      <c r="P355" t="s">
        <v>34</v>
      </c>
      <c r="Q355">
        <v>1</v>
      </c>
      <c r="R355">
        <v>0</v>
      </c>
      <c r="S355" s="2" t="str">
        <f>IFERROR(VLOOKUP(C355,Sheet2!B:E,4,0),C355)</f>
        <v>一般产品</v>
      </c>
    </row>
    <row r="356" spans="1:19" x14ac:dyDescent="0.2">
      <c r="A356" t="s">
        <v>2203</v>
      </c>
      <c r="B356">
        <v>2498</v>
      </c>
      <c r="C356" t="s">
        <v>26</v>
      </c>
      <c r="D356" t="s">
        <v>970</v>
      </c>
      <c r="E356" t="s">
        <v>2204</v>
      </c>
      <c r="F356" t="s">
        <v>791</v>
      </c>
      <c r="G356" s="2" t="s">
        <v>543</v>
      </c>
      <c r="H356" t="s">
        <v>18</v>
      </c>
      <c r="I356" t="s">
        <v>159</v>
      </c>
      <c r="J356" t="s">
        <v>160</v>
      </c>
      <c r="K356" t="s">
        <v>930</v>
      </c>
      <c r="L356" t="s">
        <v>930</v>
      </c>
      <c r="M356" t="s">
        <v>161</v>
      </c>
      <c r="N356" t="s">
        <v>55</v>
      </c>
      <c r="O356" t="s">
        <v>33</v>
      </c>
      <c r="P356" t="s">
        <v>34</v>
      </c>
      <c r="Q356">
        <v>1</v>
      </c>
      <c r="R356">
        <v>0</v>
      </c>
      <c r="S356" s="2" t="str">
        <f>IFERROR(VLOOKUP(C356,Sheet2!B:E,4,0),C356)</f>
        <v>一般产品</v>
      </c>
    </row>
    <row r="357" spans="1:19" x14ac:dyDescent="0.2">
      <c r="A357" t="s">
        <v>2205</v>
      </c>
      <c r="B357">
        <v>2499</v>
      </c>
      <c r="C357" t="s">
        <v>575</v>
      </c>
      <c r="D357" t="s">
        <v>50</v>
      </c>
      <c r="E357" t="s">
        <v>2206</v>
      </c>
      <c r="F357" t="s">
        <v>1022</v>
      </c>
      <c r="G357" s="2" t="s">
        <v>1023</v>
      </c>
      <c r="H357" t="s">
        <v>28</v>
      </c>
      <c r="I357" t="s">
        <v>930</v>
      </c>
      <c r="J357" t="s">
        <v>930</v>
      </c>
      <c r="K357" t="s">
        <v>115</v>
      </c>
      <c r="L357" t="s">
        <v>930</v>
      </c>
      <c r="M357" t="s">
        <v>116</v>
      </c>
      <c r="N357" t="s">
        <v>45</v>
      </c>
      <c r="O357" t="s">
        <v>117</v>
      </c>
      <c r="P357" t="s">
        <v>34</v>
      </c>
      <c r="Q357">
        <v>1</v>
      </c>
      <c r="R357">
        <v>0</v>
      </c>
      <c r="S357" s="2" t="str">
        <f>IFERROR(VLOOKUP(C357,Sheet2!B:E,4,0),C357)</f>
        <v>优惠产品</v>
      </c>
    </row>
    <row r="358" spans="1:19" x14ac:dyDescent="0.2">
      <c r="A358" t="s">
        <v>2207</v>
      </c>
      <c r="B358">
        <v>2999</v>
      </c>
      <c r="C358" t="s">
        <v>26</v>
      </c>
      <c r="D358" t="s">
        <v>972</v>
      </c>
      <c r="E358" t="s">
        <v>1465</v>
      </c>
      <c r="F358" t="s">
        <v>435</v>
      </c>
      <c r="G358" s="2" t="s">
        <v>436</v>
      </c>
      <c r="H358" t="s">
        <v>18</v>
      </c>
      <c r="I358" t="s">
        <v>437</v>
      </c>
      <c r="J358" t="s">
        <v>438</v>
      </c>
      <c r="K358" t="s">
        <v>930</v>
      </c>
      <c r="L358" t="s">
        <v>930</v>
      </c>
      <c r="M358" t="s">
        <v>439</v>
      </c>
      <c r="N358" t="s">
        <v>194</v>
      </c>
      <c r="O358" t="s">
        <v>24</v>
      </c>
      <c r="P358" t="s">
        <v>25</v>
      </c>
      <c r="Q358">
        <v>1</v>
      </c>
      <c r="R358">
        <v>0</v>
      </c>
      <c r="S358" s="2" t="str">
        <f>IFERROR(VLOOKUP(C358,Sheet2!B:E,4,0),C358)</f>
        <v>一般产品</v>
      </c>
    </row>
    <row r="359" spans="1:19" x14ac:dyDescent="0.2">
      <c r="A359" t="s">
        <v>2208</v>
      </c>
      <c r="B359">
        <v>2998</v>
      </c>
      <c r="C359" t="s">
        <v>26</v>
      </c>
      <c r="D359" t="s">
        <v>50</v>
      </c>
      <c r="E359" t="s">
        <v>2209</v>
      </c>
      <c r="F359" t="s">
        <v>1423</v>
      </c>
      <c r="G359" s="2" t="s">
        <v>1424</v>
      </c>
      <c r="H359" t="s">
        <v>18</v>
      </c>
      <c r="I359" t="s">
        <v>269</v>
      </c>
      <c r="J359" t="s">
        <v>270</v>
      </c>
      <c r="K359" t="s">
        <v>930</v>
      </c>
      <c r="L359" t="s">
        <v>930</v>
      </c>
      <c r="M359" t="s">
        <v>271</v>
      </c>
      <c r="N359" t="s">
        <v>47</v>
      </c>
      <c r="O359" t="s">
        <v>33</v>
      </c>
      <c r="P359" t="s">
        <v>34</v>
      </c>
      <c r="Q359">
        <v>1</v>
      </c>
      <c r="R359">
        <v>0</v>
      </c>
      <c r="S359" s="2" t="str">
        <f>IFERROR(VLOOKUP(C359,Sheet2!B:E,4,0),C359)</f>
        <v>一般产品</v>
      </c>
    </row>
    <row r="360" spans="1:19" x14ac:dyDescent="0.2">
      <c r="A360" t="s">
        <v>2210</v>
      </c>
      <c r="B360">
        <v>3800</v>
      </c>
      <c r="C360" t="s">
        <v>26</v>
      </c>
      <c r="D360" t="s">
        <v>50</v>
      </c>
      <c r="E360" t="s">
        <v>2211</v>
      </c>
      <c r="F360" t="s">
        <v>1426</v>
      </c>
      <c r="G360" s="2" t="s">
        <v>1427</v>
      </c>
      <c r="H360" t="s">
        <v>18</v>
      </c>
      <c r="I360" t="s">
        <v>167</v>
      </c>
      <c r="J360" t="s">
        <v>168</v>
      </c>
      <c r="K360" t="s">
        <v>930</v>
      </c>
      <c r="L360" t="s">
        <v>930</v>
      </c>
      <c r="M360" t="s">
        <v>937</v>
      </c>
      <c r="N360" t="s">
        <v>68</v>
      </c>
      <c r="O360" t="s">
        <v>33</v>
      </c>
      <c r="P360" t="s">
        <v>34</v>
      </c>
      <c r="Q360">
        <v>1</v>
      </c>
      <c r="R360">
        <v>0</v>
      </c>
      <c r="S360" s="2" t="str">
        <f>IFERROR(VLOOKUP(C360,Sheet2!B:E,4,0),C360)</f>
        <v>一般产品</v>
      </c>
    </row>
    <row r="361" spans="1:19" x14ac:dyDescent="0.2">
      <c r="A361" t="s">
        <v>2212</v>
      </c>
      <c r="B361">
        <v>3680</v>
      </c>
      <c r="C361" t="s">
        <v>26</v>
      </c>
      <c r="D361" t="s">
        <v>971</v>
      </c>
      <c r="E361" t="s">
        <v>2213</v>
      </c>
      <c r="F361" t="s">
        <v>1411</v>
      </c>
      <c r="G361" s="2" t="s">
        <v>1412</v>
      </c>
      <c r="H361" t="s">
        <v>18</v>
      </c>
      <c r="I361" t="s">
        <v>211</v>
      </c>
      <c r="J361" t="s">
        <v>212</v>
      </c>
      <c r="K361" t="s">
        <v>930</v>
      </c>
      <c r="L361" t="s">
        <v>930</v>
      </c>
      <c r="M361" t="s">
        <v>213</v>
      </c>
      <c r="N361" t="s">
        <v>73</v>
      </c>
      <c r="O361" t="s">
        <v>24</v>
      </c>
      <c r="P361" t="s">
        <v>25</v>
      </c>
      <c r="Q361">
        <v>1</v>
      </c>
      <c r="R361">
        <v>0</v>
      </c>
      <c r="S361" s="2" t="str">
        <f>IFERROR(VLOOKUP(C361,Sheet2!B:E,4,0),C361)</f>
        <v>一般产品</v>
      </c>
    </row>
    <row r="362" spans="1:19" x14ac:dyDescent="0.2">
      <c r="A362" t="s">
        <v>2214</v>
      </c>
      <c r="B362">
        <v>1502</v>
      </c>
      <c r="C362" t="s">
        <v>26</v>
      </c>
      <c r="D362" t="s">
        <v>970</v>
      </c>
      <c r="E362" t="s">
        <v>628</v>
      </c>
      <c r="F362" t="s">
        <v>974</v>
      </c>
      <c r="G362" s="2" t="s">
        <v>975</v>
      </c>
      <c r="H362" t="s">
        <v>18</v>
      </c>
      <c r="I362" t="s">
        <v>930</v>
      </c>
      <c r="J362" t="s">
        <v>930</v>
      </c>
      <c r="K362" t="s">
        <v>842</v>
      </c>
      <c r="L362" t="s">
        <v>930</v>
      </c>
      <c r="M362" t="s">
        <v>932</v>
      </c>
      <c r="N362" t="s">
        <v>85</v>
      </c>
      <c r="O362" t="s">
        <v>33</v>
      </c>
      <c r="P362" t="s">
        <v>34</v>
      </c>
      <c r="Q362">
        <v>1</v>
      </c>
      <c r="R362">
        <v>0</v>
      </c>
      <c r="S362" s="2" t="str">
        <f>IFERROR(VLOOKUP(C362,Sheet2!B:E,4,0),C362)</f>
        <v>一般产品</v>
      </c>
    </row>
    <row r="363" spans="1:19" x14ac:dyDescent="0.2">
      <c r="A363" t="s">
        <v>2215</v>
      </c>
      <c r="B363">
        <v>3980</v>
      </c>
      <c r="C363" t="s">
        <v>575</v>
      </c>
      <c r="D363" t="s">
        <v>971</v>
      </c>
      <c r="E363" t="s">
        <v>557</v>
      </c>
      <c r="F363" t="s">
        <v>1395</v>
      </c>
      <c r="G363" s="2" t="s">
        <v>1396</v>
      </c>
      <c r="H363" t="s">
        <v>28</v>
      </c>
      <c r="I363" t="s">
        <v>151</v>
      </c>
      <c r="J363" t="s">
        <v>152</v>
      </c>
      <c r="K363" t="s">
        <v>930</v>
      </c>
      <c r="L363" t="s">
        <v>930</v>
      </c>
      <c r="M363" t="s">
        <v>153</v>
      </c>
      <c r="N363" t="s">
        <v>61</v>
      </c>
      <c r="O363" t="s">
        <v>129</v>
      </c>
      <c r="P363" t="s">
        <v>25</v>
      </c>
      <c r="Q363">
        <v>1</v>
      </c>
      <c r="R363">
        <v>0</v>
      </c>
      <c r="S363" s="2" t="str">
        <f>IFERROR(VLOOKUP(C363,Sheet2!B:E,4,0),C363)</f>
        <v>优惠产品</v>
      </c>
    </row>
    <row r="364" spans="1:19" x14ac:dyDescent="0.2">
      <c r="A364" t="s">
        <v>2216</v>
      </c>
      <c r="B364">
        <v>1299</v>
      </c>
      <c r="C364" t="s">
        <v>589</v>
      </c>
      <c r="D364" t="s">
        <v>50</v>
      </c>
      <c r="E364" t="s">
        <v>1198</v>
      </c>
      <c r="F364" t="s">
        <v>846</v>
      </c>
      <c r="G364" s="2" t="s">
        <v>847</v>
      </c>
      <c r="H364" t="s">
        <v>18</v>
      </c>
      <c r="I364" t="s">
        <v>295</v>
      </c>
      <c r="J364" t="s">
        <v>296</v>
      </c>
      <c r="K364" t="s">
        <v>930</v>
      </c>
      <c r="L364" t="s">
        <v>930</v>
      </c>
      <c r="M364" t="s">
        <v>297</v>
      </c>
      <c r="N364" t="s">
        <v>51</v>
      </c>
      <c r="O364" t="s">
        <v>33</v>
      </c>
      <c r="P364" t="s">
        <v>34</v>
      </c>
      <c r="Q364">
        <v>1</v>
      </c>
      <c r="R364">
        <v>0</v>
      </c>
      <c r="S364" s="2" t="str">
        <f>IFERROR(VLOOKUP(C364,Sheet2!B:E,4,0),C364)</f>
        <v>优惠产品</v>
      </c>
    </row>
    <row r="365" spans="1:19" x14ac:dyDescent="0.2">
      <c r="A365" t="s">
        <v>2217</v>
      </c>
      <c r="B365">
        <v>1800</v>
      </c>
      <c r="C365" t="s">
        <v>26</v>
      </c>
      <c r="D365" t="s">
        <v>50</v>
      </c>
      <c r="E365" t="s">
        <v>2218</v>
      </c>
      <c r="F365" t="s">
        <v>2219</v>
      </c>
      <c r="G365" s="2" t="s">
        <v>1259</v>
      </c>
      <c r="H365" t="s">
        <v>18</v>
      </c>
      <c r="I365" t="s">
        <v>107</v>
      </c>
      <c r="J365" t="s">
        <v>1046</v>
      </c>
      <c r="K365" t="s">
        <v>930</v>
      </c>
      <c r="L365" t="s">
        <v>930</v>
      </c>
      <c r="M365" t="s">
        <v>1047</v>
      </c>
      <c r="N365" t="s">
        <v>108</v>
      </c>
      <c r="O365" t="s">
        <v>33</v>
      </c>
      <c r="P365" t="s">
        <v>34</v>
      </c>
      <c r="Q365">
        <v>1</v>
      </c>
      <c r="R365">
        <v>0</v>
      </c>
      <c r="S365" s="2" t="str">
        <f>IFERROR(VLOOKUP(C365,Sheet2!B:E,4,0),C365)</f>
        <v>一般产品</v>
      </c>
    </row>
    <row r="366" spans="1:19" x14ac:dyDescent="0.2">
      <c r="A366" t="s">
        <v>2220</v>
      </c>
      <c r="B366">
        <v>2999</v>
      </c>
      <c r="C366" t="s">
        <v>589</v>
      </c>
      <c r="D366" t="s">
        <v>972</v>
      </c>
      <c r="E366" t="s">
        <v>2221</v>
      </c>
      <c r="F366" t="s">
        <v>1705</v>
      </c>
      <c r="G366" s="2" t="s">
        <v>1706</v>
      </c>
      <c r="H366" t="s">
        <v>18</v>
      </c>
      <c r="I366" t="s">
        <v>204</v>
      </c>
      <c r="J366" t="s">
        <v>205</v>
      </c>
      <c r="K366" t="s">
        <v>930</v>
      </c>
      <c r="L366" t="s">
        <v>930</v>
      </c>
      <c r="M366" t="s">
        <v>206</v>
      </c>
      <c r="N366" t="s">
        <v>44</v>
      </c>
      <c r="O366" t="s">
        <v>24</v>
      </c>
      <c r="P366" t="s">
        <v>25</v>
      </c>
      <c r="Q366">
        <v>1</v>
      </c>
      <c r="R366">
        <v>0</v>
      </c>
      <c r="S366" s="2" t="str">
        <f>IFERROR(VLOOKUP(C366,Sheet2!B:E,4,0),C366)</f>
        <v>优惠产品</v>
      </c>
    </row>
    <row r="367" spans="1:19" x14ac:dyDescent="0.2">
      <c r="A367" t="s">
        <v>2222</v>
      </c>
      <c r="B367">
        <v>1399</v>
      </c>
      <c r="C367" t="s">
        <v>589</v>
      </c>
      <c r="D367" t="s">
        <v>972</v>
      </c>
      <c r="E367" t="s">
        <v>2223</v>
      </c>
      <c r="F367" t="s">
        <v>681</v>
      </c>
      <c r="G367" s="2" t="s">
        <v>682</v>
      </c>
      <c r="H367" t="s">
        <v>18</v>
      </c>
      <c r="I367" t="s">
        <v>250</v>
      </c>
      <c r="J367" t="s">
        <v>251</v>
      </c>
      <c r="K367" t="s">
        <v>930</v>
      </c>
      <c r="L367" t="s">
        <v>930</v>
      </c>
      <c r="M367" t="s">
        <v>252</v>
      </c>
      <c r="N367" t="s">
        <v>44</v>
      </c>
      <c r="O367" t="s">
        <v>24</v>
      </c>
      <c r="P367" t="s">
        <v>25</v>
      </c>
      <c r="Q367">
        <v>1</v>
      </c>
      <c r="R367">
        <v>0</v>
      </c>
      <c r="S367" s="2" t="str">
        <f>IFERROR(VLOOKUP(C367,Sheet2!B:E,4,0),C367)</f>
        <v>优惠产品</v>
      </c>
    </row>
    <row r="368" spans="1:19" x14ac:dyDescent="0.2">
      <c r="A368" t="s">
        <v>2224</v>
      </c>
      <c r="B368">
        <v>2998</v>
      </c>
      <c r="C368" t="s">
        <v>26</v>
      </c>
      <c r="D368" t="s">
        <v>970</v>
      </c>
      <c r="E368" t="s">
        <v>2225</v>
      </c>
      <c r="F368" t="s">
        <v>568</v>
      </c>
      <c r="G368" s="2" t="s">
        <v>569</v>
      </c>
      <c r="H368" t="s">
        <v>18</v>
      </c>
      <c r="I368" t="s">
        <v>930</v>
      </c>
      <c r="J368" t="s">
        <v>930</v>
      </c>
      <c r="K368" t="s">
        <v>930</v>
      </c>
      <c r="L368" t="s">
        <v>930</v>
      </c>
      <c r="M368" t="s">
        <v>60</v>
      </c>
      <c r="N368" t="s">
        <v>61</v>
      </c>
      <c r="O368" t="s">
        <v>39</v>
      </c>
      <c r="P368" t="s">
        <v>25</v>
      </c>
      <c r="Q368">
        <v>1</v>
      </c>
      <c r="R368">
        <v>0</v>
      </c>
      <c r="S368" s="2" t="str">
        <f>IFERROR(VLOOKUP(C368,Sheet2!B:E,4,0),C368)</f>
        <v>一般产品</v>
      </c>
    </row>
    <row r="369" spans="1:19" x14ac:dyDescent="0.2">
      <c r="A369" t="s">
        <v>2226</v>
      </c>
      <c r="B369">
        <v>1999</v>
      </c>
      <c r="C369" t="s">
        <v>575</v>
      </c>
      <c r="D369" t="s">
        <v>971</v>
      </c>
      <c r="E369" t="s">
        <v>2227</v>
      </c>
      <c r="F369" t="s">
        <v>1636</v>
      </c>
      <c r="G369" s="2" t="s">
        <v>1637</v>
      </c>
      <c r="H369" t="s">
        <v>18</v>
      </c>
      <c r="I369" t="s">
        <v>248</v>
      </c>
      <c r="J369" t="s">
        <v>249</v>
      </c>
      <c r="K369" t="s">
        <v>930</v>
      </c>
      <c r="L369" t="s">
        <v>930</v>
      </c>
      <c r="M369" t="s">
        <v>1049</v>
      </c>
      <c r="N369" t="s">
        <v>73</v>
      </c>
      <c r="O369" t="s">
        <v>24</v>
      </c>
      <c r="P369" t="s">
        <v>25</v>
      </c>
      <c r="Q369">
        <v>1</v>
      </c>
      <c r="R369">
        <v>0</v>
      </c>
      <c r="S369" s="2" t="str">
        <f>IFERROR(VLOOKUP(C369,Sheet2!B:E,4,0),C369)</f>
        <v>优惠产品</v>
      </c>
    </row>
    <row r="370" spans="1:19" x14ac:dyDescent="0.2">
      <c r="A370" t="s">
        <v>2228</v>
      </c>
      <c r="B370">
        <v>3999</v>
      </c>
      <c r="C370" t="s">
        <v>575</v>
      </c>
      <c r="D370" t="s">
        <v>50</v>
      </c>
      <c r="E370" t="s">
        <v>346</v>
      </c>
      <c r="F370" t="s">
        <v>514</v>
      </c>
      <c r="G370" s="2" t="s">
        <v>515</v>
      </c>
      <c r="H370" t="s">
        <v>18</v>
      </c>
      <c r="I370" t="s">
        <v>216</v>
      </c>
      <c r="J370" t="s">
        <v>217</v>
      </c>
      <c r="K370" t="s">
        <v>930</v>
      </c>
      <c r="L370" t="s">
        <v>930</v>
      </c>
      <c r="M370" t="s">
        <v>218</v>
      </c>
      <c r="N370" t="s">
        <v>114</v>
      </c>
      <c r="O370" t="s">
        <v>24</v>
      </c>
      <c r="P370" t="s">
        <v>25</v>
      </c>
      <c r="Q370">
        <v>1</v>
      </c>
      <c r="R370">
        <v>0</v>
      </c>
      <c r="S370" s="2" t="str">
        <f>IFERROR(VLOOKUP(C370,Sheet2!B:E,4,0),C370)</f>
        <v>优惠产品</v>
      </c>
    </row>
    <row r="371" spans="1:19" x14ac:dyDescent="0.2">
      <c r="A371" t="s">
        <v>2229</v>
      </c>
      <c r="B371">
        <v>1599</v>
      </c>
      <c r="C371" t="s">
        <v>589</v>
      </c>
      <c r="D371" t="s">
        <v>972</v>
      </c>
      <c r="E371" t="s">
        <v>2230</v>
      </c>
      <c r="F371" t="s">
        <v>1236</v>
      </c>
      <c r="G371" s="2" t="s">
        <v>1237</v>
      </c>
      <c r="H371" t="s">
        <v>18</v>
      </c>
      <c r="I371" t="s">
        <v>227</v>
      </c>
      <c r="J371" t="s">
        <v>228</v>
      </c>
      <c r="K371" t="s">
        <v>930</v>
      </c>
      <c r="L371" t="s">
        <v>930</v>
      </c>
      <c r="M371" t="s">
        <v>229</v>
      </c>
      <c r="N371" t="s">
        <v>194</v>
      </c>
      <c r="O371" t="s">
        <v>24</v>
      </c>
      <c r="P371" t="s">
        <v>25</v>
      </c>
      <c r="Q371">
        <v>1</v>
      </c>
      <c r="R371">
        <v>0</v>
      </c>
      <c r="S371" s="2" t="str">
        <f>IFERROR(VLOOKUP(C371,Sheet2!B:E,4,0),C371)</f>
        <v>优惠产品</v>
      </c>
    </row>
    <row r="372" spans="1:19" x14ac:dyDescent="0.2">
      <c r="A372" t="s">
        <v>2231</v>
      </c>
      <c r="B372">
        <v>1999</v>
      </c>
      <c r="C372" t="s">
        <v>26</v>
      </c>
      <c r="D372" t="s">
        <v>50</v>
      </c>
      <c r="E372" t="s">
        <v>2232</v>
      </c>
      <c r="F372" t="s">
        <v>2233</v>
      </c>
      <c r="G372" s="2" t="s">
        <v>2234</v>
      </c>
      <c r="H372" t="s">
        <v>28</v>
      </c>
      <c r="I372" t="s">
        <v>65</v>
      </c>
      <c r="J372" t="s">
        <v>66</v>
      </c>
      <c r="K372" t="s">
        <v>930</v>
      </c>
      <c r="L372" t="s">
        <v>930</v>
      </c>
      <c r="M372" t="s">
        <v>67</v>
      </c>
      <c r="N372" t="s">
        <v>68</v>
      </c>
      <c r="O372" t="s">
        <v>33</v>
      </c>
      <c r="P372" t="s">
        <v>34</v>
      </c>
      <c r="Q372">
        <v>1</v>
      </c>
      <c r="R372">
        <v>0</v>
      </c>
      <c r="S372" s="2" t="str">
        <f>IFERROR(VLOOKUP(C372,Sheet2!B:E,4,0),C372)</f>
        <v>一般产品</v>
      </c>
    </row>
    <row r="373" spans="1:19" x14ac:dyDescent="0.2">
      <c r="A373" t="s">
        <v>2235</v>
      </c>
      <c r="B373">
        <v>3980</v>
      </c>
      <c r="C373" t="s">
        <v>575</v>
      </c>
      <c r="D373" t="s">
        <v>971</v>
      </c>
      <c r="E373" t="s">
        <v>150</v>
      </c>
      <c r="F373" t="s">
        <v>706</v>
      </c>
      <c r="G373" s="2" t="s">
        <v>707</v>
      </c>
      <c r="H373" t="s">
        <v>18</v>
      </c>
      <c r="I373" t="s">
        <v>151</v>
      </c>
      <c r="J373" t="s">
        <v>152</v>
      </c>
      <c r="K373" t="s">
        <v>930</v>
      </c>
      <c r="L373" t="s">
        <v>930</v>
      </c>
      <c r="M373" t="s">
        <v>153</v>
      </c>
      <c r="N373" t="s">
        <v>61</v>
      </c>
      <c r="O373" t="s">
        <v>129</v>
      </c>
      <c r="P373" t="s">
        <v>25</v>
      </c>
      <c r="Q373">
        <v>1</v>
      </c>
      <c r="R373">
        <v>0</v>
      </c>
      <c r="S373" s="2" t="str">
        <f>IFERROR(VLOOKUP(C373,Sheet2!B:E,4,0),C373)</f>
        <v>优惠产品</v>
      </c>
    </row>
    <row r="374" spans="1:19" x14ac:dyDescent="0.2">
      <c r="A374" t="s">
        <v>2236</v>
      </c>
      <c r="B374">
        <v>3100</v>
      </c>
      <c r="C374" t="s">
        <v>26</v>
      </c>
      <c r="D374" t="s">
        <v>972</v>
      </c>
      <c r="E374" t="s">
        <v>979</v>
      </c>
      <c r="F374" t="s">
        <v>980</v>
      </c>
      <c r="G374" s="2" t="s">
        <v>981</v>
      </c>
      <c r="H374" t="s">
        <v>18</v>
      </c>
      <c r="I374" t="s">
        <v>281</v>
      </c>
      <c r="J374" t="s">
        <v>282</v>
      </c>
      <c r="K374" t="s">
        <v>930</v>
      </c>
      <c r="L374" t="s">
        <v>930</v>
      </c>
      <c r="M374" t="s">
        <v>283</v>
      </c>
      <c r="N374" t="s">
        <v>68</v>
      </c>
      <c r="O374" t="s">
        <v>33</v>
      </c>
      <c r="P374" t="s">
        <v>34</v>
      </c>
      <c r="Q374">
        <v>1</v>
      </c>
      <c r="R374">
        <v>0</v>
      </c>
      <c r="S374" s="2" t="str">
        <f>IFERROR(VLOOKUP(C374,Sheet2!B:E,4,0),C374)</f>
        <v>一般产品</v>
      </c>
    </row>
    <row r="375" spans="1:19" x14ac:dyDescent="0.2">
      <c r="A375" t="s">
        <v>2237</v>
      </c>
      <c r="B375">
        <v>2780</v>
      </c>
      <c r="C375" t="s">
        <v>26</v>
      </c>
      <c r="D375" t="s">
        <v>971</v>
      </c>
      <c r="E375" t="s">
        <v>2238</v>
      </c>
      <c r="F375" t="s">
        <v>2239</v>
      </c>
      <c r="G375" s="2" t="s">
        <v>2240</v>
      </c>
      <c r="H375" t="s">
        <v>18</v>
      </c>
      <c r="I375" t="s">
        <v>40</v>
      </c>
      <c r="J375" t="s">
        <v>41</v>
      </c>
      <c r="K375" t="s">
        <v>930</v>
      </c>
      <c r="L375" t="s">
        <v>930</v>
      </c>
      <c r="M375" t="s">
        <v>42</v>
      </c>
      <c r="N375" t="s">
        <v>43</v>
      </c>
      <c r="O375" t="s">
        <v>24</v>
      </c>
      <c r="P375" t="s">
        <v>25</v>
      </c>
      <c r="Q375">
        <v>1</v>
      </c>
      <c r="R375">
        <v>0</v>
      </c>
      <c r="S375" s="2" t="str">
        <f>IFERROR(VLOOKUP(C375,Sheet2!B:E,4,0),C375)</f>
        <v>一般产品</v>
      </c>
    </row>
    <row r="376" spans="1:19" x14ac:dyDescent="0.2">
      <c r="A376" t="s">
        <v>2241</v>
      </c>
      <c r="B376">
        <v>2599</v>
      </c>
      <c r="C376" t="s">
        <v>26</v>
      </c>
      <c r="D376" t="s">
        <v>972</v>
      </c>
      <c r="E376" t="s">
        <v>354</v>
      </c>
      <c r="F376" t="s">
        <v>2242</v>
      </c>
      <c r="G376" s="2" t="s">
        <v>2243</v>
      </c>
      <c r="H376" t="s">
        <v>18</v>
      </c>
      <c r="I376" t="s">
        <v>81</v>
      </c>
      <c r="J376" t="s">
        <v>1230</v>
      </c>
      <c r="K376" t="s">
        <v>930</v>
      </c>
      <c r="L376" t="s">
        <v>930</v>
      </c>
      <c r="M376" t="s">
        <v>1231</v>
      </c>
      <c r="N376" t="s">
        <v>68</v>
      </c>
      <c r="O376" t="s">
        <v>33</v>
      </c>
      <c r="P376" t="s">
        <v>34</v>
      </c>
      <c r="Q376">
        <v>1</v>
      </c>
      <c r="R376">
        <v>0</v>
      </c>
      <c r="S376" s="2" t="str">
        <f>IFERROR(VLOOKUP(C376,Sheet2!B:E,4,0),C376)</f>
        <v>一般产品</v>
      </c>
    </row>
    <row r="377" spans="1:19" x14ac:dyDescent="0.2">
      <c r="A377" t="s">
        <v>2244</v>
      </c>
      <c r="B377">
        <v>2499</v>
      </c>
      <c r="C377" t="s">
        <v>589</v>
      </c>
      <c r="D377" t="s">
        <v>50</v>
      </c>
      <c r="E377" t="s">
        <v>1106</v>
      </c>
      <c r="F377" t="s">
        <v>518</v>
      </c>
      <c r="G377" s="2" t="s">
        <v>519</v>
      </c>
      <c r="H377" t="s">
        <v>18</v>
      </c>
      <c r="I377" t="s">
        <v>379</v>
      </c>
      <c r="J377" t="s">
        <v>380</v>
      </c>
      <c r="K377" t="s">
        <v>930</v>
      </c>
      <c r="L377" t="s">
        <v>930</v>
      </c>
      <c r="M377" t="s">
        <v>381</v>
      </c>
      <c r="N377" t="s">
        <v>46</v>
      </c>
      <c r="O377" t="s">
        <v>63</v>
      </c>
      <c r="P377" t="s">
        <v>34</v>
      </c>
      <c r="Q377">
        <v>1</v>
      </c>
      <c r="R377">
        <v>0</v>
      </c>
      <c r="S377" s="2" t="str">
        <f>IFERROR(VLOOKUP(C377,Sheet2!B:E,4,0),C377)</f>
        <v>优惠产品</v>
      </c>
    </row>
    <row r="378" spans="1:19" x14ac:dyDescent="0.2">
      <c r="A378" t="s">
        <v>2245</v>
      </c>
      <c r="B378">
        <v>3098</v>
      </c>
      <c r="C378" t="s">
        <v>26</v>
      </c>
      <c r="D378" t="s">
        <v>970</v>
      </c>
      <c r="E378" t="s">
        <v>2246</v>
      </c>
      <c r="F378" t="s">
        <v>849</v>
      </c>
      <c r="G378" s="2" t="s">
        <v>850</v>
      </c>
      <c r="H378" t="s">
        <v>18</v>
      </c>
      <c r="I378" t="s">
        <v>81</v>
      </c>
      <c r="J378" t="s">
        <v>1230</v>
      </c>
      <c r="K378" t="s">
        <v>930</v>
      </c>
      <c r="L378" t="s">
        <v>930</v>
      </c>
      <c r="M378" t="s">
        <v>1231</v>
      </c>
      <c r="N378" t="s">
        <v>68</v>
      </c>
      <c r="O378" t="s">
        <v>33</v>
      </c>
      <c r="P378" t="s">
        <v>34</v>
      </c>
      <c r="Q378">
        <v>1</v>
      </c>
      <c r="R378">
        <v>0</v>
      </c>
      <c r="S378" s="2" t="str">
        <f>IFERROR(VLOOKUP(C378,Sheet2!B:E,4,0),C378)</f>
        <v>一般产品</v>
      </c>
    </row>
    <row r="379" spans="1:19" x14ac:dyDescent="0.2">
      <c r="A379" t="s">
        <v>2247</v>
      </c>
      <c r="B379">
        <v>1299</v>
      </c>
      <c r="C379" t="s">
        <v>26</v>
      </c>
      <c r="D379" t="s">
        <v>970</v>
      </c>
      <c r="E379" t="s">
        <v>2248</v>
      </c>
      <c r="F379" t="s">
        <v>2249</v>
      </c>
      <c r="G379" s="2" t="s">
        <v>2250</v>
      </c>
      <c r="H379" t="s">
        <v>18</v>
      </c>
      <c r="I379" t="s">
        <v>388</v>
      </c>
      <c r="J379" t="s">
        <v>389</v>
      </c>
      <c r="K379" t="s">
        <v>930</v>
      </c>
      <c r="L379" t="s">
        <v>930</v>
      </c>
      <c r="M379" t="s">
        <v>390</v>
      </c>
      <c r="N379" t="s">
        <v>51</v>
      </c>
      <c r="O379" t="s">
        <v>33</v>
      </c>
      <c r="P379" t="s">
        <v>34</v>
      </c>
      <c r="Q379">
        <v>1</v>
      </c>
      <c r="R379">
        <v>0</v>
      </c>
      <c r="S379" s="2" t="str">
        <f>IFERROR(VLOOKUP(C379,Sheet2!B:E,4,0),C379)</f>
        <v>一般产品</v>
      </c>
    </row>
    <row r="380" spans="1:19" x14ac:dyDescent="0.2">
      <c r="A380" t="s">
        <v>2251</v>
      </c>
      <c r="B380">
        <v>2200</v>
      </c>
      <c r="C380" t="s">
        <v>26</v>
      </c>
      <c r="D380" t="s">
        <v>50</v>
      </c>
      <c r="E380" t="s">
        <v>2000</v>
      </c>
      <c r="F380" t="s">
        <v>2084</v>
      </c>
      <c r="G380" s="2" t="s">
        <v>2085</v>
      </c>
      <c r="H380" t="s">
        <v>18</v>
      </c>
      <c r="I380" t="s">
        <v>221</v>
      </c>
      <c r="J380" t="s">
        <v>222</v>
      </c>
      <c r="K380" t="s">
        <v>930</v>
      </c>
      <c r="L380" t="s">
        <v>930</v>
      </c>
      <c r="M380" t="s">
        <v>223</v>
      </c>
      <c r="N380" t="s">
        <v>55</v>
      </c>
      <c r="O380" t="s">
        <v>33</v>
      </c>
      <c r="P380" t="s">
        <v>34</v>
      </c>
      <c r="Q380">
        <v>1</v>
      </c>
      <c r="R380">
        <v>0</v>
      </c>
      <c r="S380" s="2" t="str">
        <f>IFERROR(VLOOKUP(C380,Sheet2!B:E,4,0),C380)</f>
        <v>一般产品</v>
      </c>
    </row>
    <row r="381" spans="1:19" x14ac:dyDescent="0.2">
      <c r="A381" t="s">
        <v>2252</v>
      </c>
      <c r="B381">
        <v>1808</v>
      </c>
      <c r="C381" t="s">
        <v>26</v>
      </c>
      <c r="D381" t="s">
        <v>970</v>
      </c>
      <c r="E381" t="s">
        <v>1348</v>
      </c>
      <c r="F381" t="s">
        <v>605</v>
      </c>
      <c r="G381" s="2" t="s">
        <v>606</v>
      </c>
      <c r="H381" t="s">
        <v>18</v>
      </c>
      <c r="I381" t="s">
        <v>125</v>
      </c>
      <c r="J381" t="s">
        <v>126</v>
      </c>
      <c r="K381" t="s">
        <v>930</v>
      </c>
      <c r="L381" t="s">
        <v>930</v>
      </c>
      <c r="M381" t="s">
        <v>127</v>
      </c>
      <c r="N381" t="s">
        <v>32</v>
      </c>
      <c r="O381" t="s">
        <v>33</v>
      </c>
      <c r="P381" t="s">
        <v>34</v>
      </c>
      <c r="Q381">
        <v>1</v>
      </c>
      <c r="R381">
        <v>0</v>
      </c>
      <c r="S381" s="2" t="str">
        <f>IFERROR(VLOOKUP(C381,Sheet2!B:E,4,0),C381)</f>
        <v>一般产品</v>
      </c>
    </row>
    <row r="382" spans="1:19" x14ac:dyDescent="0.2">
      <c r="A382" t="s">
        <v>2253</v>
      </c>
      <c r="B382">
        <v>2599</v>
      </c>
      <c r="C382" t="s">
        <v>575</v>
      </c>
      <c r="D382" t="s">
        <v>970</v>
      </c>
      <c r="E382" t="s">
        <v>2254</v>
      </c>
      <c r="F382" t="s">
        <v>844</v>
      </c>
      <c r="G382" s="2" t="s">
        <v>845</v>
      </c>
      <c r="H382" t="s">
        <v>18</v>
      </c>
      <c r="I382" t="s">
        <v>139</v>
      </c>
      <c r="J382" t="s">
        <v>140</v>
      </c>
      <c r="K382" t="s">
        <v>930</v>
      </c>
      <c r="L382" t="s">
        <v>930</v>
      </c>
      <c r="M382" t="s">
        <v>141</v>
      </c>
      <c r="N382" t="s">
        <v>136</v>
      </c>
      <c r="O382" t="s">
        <v>95</v>
      </c>
      <c r="P382" t="s">
        <v>90</v>
      </c>
      <c r="Q382">
        <v>1</v>
      </c>
      <c r="R382">
        <v>0</v>
      </c>
      <c r="S382" s="2" t="str">
        <f>IFERROR(VLOOKUP(C382,Sheet2!B:E,4,0),C382)</f>
        <v>优惠产品</v>
      </c>
    </row>
    <row r="383" spans="1:19" x14ac:dyDescent="0.2">
      <c r="A383" t="s">
        <v>2255</v>
      </c>
      <c r="B383">
        <v>2000</v>
      </c>
      <c r="C383" t="s">
        <v>26</v>
      </c>
      <c r="D383" t="s">
        <v>50</v>
      </c>
      <c r="E383" t="s">
        <v>761</v>
      </c>
      <c r="F383" t="s">
        <v>1227</v>
      </c>
      <c r="G383" s="2" t="s">
        <v>1228</v>
      </c>
      <c r="H383" t="s">
        <v>18</v>
      </c>
      <c r="I383" t="s">
        <v>421</v>
      </c>
      <c r="J383" t="s">
        <v>422</v>
      </c>
      <c r="K383" t="s">
        <v>930</v>
      </c>
      <c r="L383" t="s">
        <v>930</v>
      </c>
      <c r="M383" t="s">
        <v>423</v>
      </c>
      <c r="N383" t="s">
        <v>68</v>
      </c>
      <c r="O383" t="s">
        <v>33</v>
      </c>
      <c r="P383" t="s">
        <v>34</v>
      </c>
      <c r="Q383">
        <v>1</v>
      </c>
      <c r="R383">
        <v>0</v>
      </c>
      <c r="S383" s="2" t="str">
        <f>IFERROR(VLOOKUP(C383,Sheet2!B:E,4,0),C383)</f>
        <v>一般产品</v>
      </c>
    </row>
    <row r="384" spans="1:19" x14ac:dyDescent="0.2">
      <c r="A384" t="s">
        <v>2256</v>
      </c>
      <c r="B384">
        <v>1298</v>
      </c>
      <c r="C384" t="s">
        <v>26</v>
      </c>
      <c r="D384" t="s">
        <v>2257</v>
      </c>
      <c r="E384" t="s">
        <v>2258</v>
      </c>
      <c r="F384" t="s">
        <v>272</v>
      </c>
      <c r="G384" s="2" t="s">
        <v>273</v>
      </c>
      <c r="H384" t="s">
        <v>18</v>
      </c>
      <c r="I384" t="s">
        <v>930</v>
      </c>
      <c r="J384" t="s">
        <v>930</v>
      </c>
      <c r="K384" t="s">
        <v>274</v>
      </c>
      <c r="L384" t="s">
        <v>930</v>
      </c>
      <c r="M384" t="s">
        <v>275</v>
      </c>
      <c r="N384" t="s">
        <v>60</v>
      </c>
      <c r="O384" t="s">
        <v>72</v>
      </c>
      <c r="P384" t="s">
        <v>34</v>
      </c>
      <c r="Q384">
        <v>1</v>
      </c>
      <c r="R384">
        <v>0</v>
      </c>
      <c r="S384" s="2" t="str">
        <f>IFERROR(VLOOKUP(C384,Sheet2!B:E,4,0),C384)</f>
        <v>一般产品</v>
      </c>
    </row>
    <row r="385" spans="1:19" x14ac:dyDescent="0.2">
      <c r="A385" t="s">
        <v>2259</v>
      </c>
      <c r="B385">
        <v>3150</v>
      </c>
      <c r="C385" t="s">
        <v>575</v>
      </c>
      <c r="D385" t="s">
        <v>50</v>
      </c>
      <c r="E385" t="s">
        <v>2260</v>
      </c>
      <c r="F385" t="s">
        <v>333</v>
      </c>
      <c r="G385" s="2" t="s">
        <v>334</v>
      </c>
      <c r="H385" t="s">
        <v>18</v>
      </c>
      <c r="I385" t="s">
        <v>174</v>
      </c>
      <c r="J385" t="s">
        <v>175</v>
      </c>
      <c r="K385" t="s">
        <v>930</v>
      </c>
      <c r="L385" t="s">
        <v>930</v>
      </c>
      <c r="M385" t="s">
        <v>176</v>
      </c>
      <c r="N385" t="s">
        <v>43</v>
      </c>
      <c r="O385" t="s">
        <v>24</v>
      </c>
      <c r="P385" t="s">
        <v>25</v>
      </c>
      <c r="Q385">
        <v>1</v>
      </c>
      <c r="R385">
        <v>0</v>
      </c>
      <c r="S385" s="2" t="str">
        <f>IFERROR(VLOOKUP(C385,Sheet2!B:E,4,0),C385)</f>
        <v>优惠产品</v>
      </c>
    </row>
    <row r="386" spans="1:19" x14ac:dyDescent="0.2">
      <c r="A386" t="s">
        <v>2261</v>
      </c>
      <c r="B386">
        <v>3300</v>
      </c>
      <c r="C386" t="s">
        <v>26</v>
      </c>
      <c r="D386" t="s">
        <v>50</v>
      </c>
      <c r="E386" t="s">
        <v>1450</v>
      </c>
      <c r="F386" t="s">
        <v>635</v>
      </c>
      <c r="G386" s="2" t="s">
        <v>636</v>
      </c>
      <c r="H386" t="s">
        <v>18</v>
      </c>
      <c r="I386" t="s">
        <v>255</v>
      </c>
      <c r="J386" t="s">
        <v>256</v>
      </c>
      <c r="K386" t="s">
        <v>930</v>
      </c>
      <c r="L386" t="s">
        <v>930</v>
      </c>
      <c r="M386" t="s">
        <v>257</v>
      </c>
      <c r="N386" t="s">
        <v>47</v>
      </c>
      <c r="O386" t="s">
        <v>33</v>
      </c>
      <c r="P386" t="s">
        <v>34</v>
      </c>
      <c r="Q386">
        <v>1</v>
      </c>
      <c r="R386">
        <v>0</v>
      </c>
      <c r="S386" s="2" t="str">
        <f>IFERROR(VLOOKUP(C386,Sheet2!B:E,4,0),C386)</f>
        <v>一般产品</v>
      </c>
    </row>
    <row r="387" spans="1:19" x14ac:dyDescent="0.2">
      <c r="A387" t="s">
        <v>2262</v>
      </c>
      <c r="B387">
        <v>1799</v>
      </c>
      <c r="C387" t="s">
        <v>580</v>
      </c>
      <c r="D387" t="s">
        <v>2257</v>
      </c>
      <c r="E387" t="s">
        <v>2263</v>
      </c>
      <c r="F387" t="s">
        <v>2264</v>
      </c>
      <c r="G387" s="2" t="s">
        <v>2265</v>
      </c>
      <c r="H387" t="s">
        <v>18</v>
      </c>
      <c r="I387" t="s">
        <v>930</v>
      </c>
      <c r="J387" t="s">
        <v>930</v>
      </c>
      <c r="K387" t="s">
        <v>448</v>
      </c>
      <c r="L387" t="s">
        <v>930</v>
      </c>
      <c r="M387" t="s">
        <v>449</v>
      </c>
      <c r="N387" t="s">
        <v>194</v>
      </c>
      <c r="O387" t="s">
        <v>24</v>
      </c>
      <c r="P387" t="s">
        <v>25</v>
      </c>
      <c r="Q387">
        <v>1</v>
      </c>
      <c r="R387">
        <v>0</v>
      </c>
      <c r="S387" s="2" t="str">
        <f>IFERROR(VLOOKUP(C387,Sheet2!B:E,4,0),C387)</f>
        <v>10期贷</v>
      </c>
    </row>
    <row r="388" spans="1:19" x14ac:dyDescent="0.2">
      <c r="A388" t="s">
        <v>2266</v>
      </c>
      <c r="B388">
        <v>2999</v>
      </c>
      <c r="C388" t="s">
        <v>580</v>
      </c>
      <c r="D388" t="s">
        <v>50</v>
      </c>
      <c r="E388" t="s">
        <v>2267</v>
      </c>
      <c r="F388" t="s">
        <v>2268</v>
      </c>
      <c r="G388" s="2" t="s">
        <v>2269</v>
      </c>
      <c r="H388" t="s">
        <v>28</v>
      </c>
      <c r="I388" t="s">
        <v>930</v>
      </c>
      <c r="J388" t="s">
        <v>930</v>
      </c>
      <c r="K388" t="s">
        <v>1225</v>
      </c>
      <c r="L388" t="s">
        <v>930</v>
      </c>
      <c r="M388" t="s">
        <v>1226</v>
      </c>
      <c r="N388" t="s">
        <v>44</v>
      </c>
      <c r="O388" t="s">
        <v>24</v>
      </c>
      <c r="P388" t="s">
        <v>25</v>
      </c>
      <c r="Q388">
        <v>1</v>
      </c>
      <c r="R388">
        <v>0</v>
      </c>
      <c r="S388" s="2" t="str">
        <f>IFERROR(VLOOKUP(C388,Sheet2!B:E,4,0),C388)</f>
        <v>10期贷</v>
      </c>
    </row>
    <row r="389" spans="1:19" x14ac:dyDescent="0.2">
      <c r="A389" t="s">
        <v>2270</v>
      </c>
      <c r="B389">
        <v>1798</v>
      </c>
      <c r="C389" t="s">
        <v>26</v>
      </c>
      <c r="D389" t="s">
        <v>50</v>
      </c>
      <c r="E389" t="s">
        <v>2271</v>
      </c>
      <c r="F389" t="s">
        <v>349</v>
      </c>
      <c r="G389" s="2" t="s">
        <v>350</v>
      </c>
      <c r="H389" t="s">
        <v>18</v>
      </c>
      <c r="I389" t="s">
        <v>351</v>
      </c>
      <c r="J389" t="s">
        <v>352</v>
      </c>
      <c r="K389" t="s">
        <v>930</v>
      </c>
      <c r="L389" t="s">
        <v>930</v>
      </c>
      <c r="M389" t="s">
        <v>353</v>
      </c>
      <c r="N389" t="s">
        <v>146</v>
      </c>
      <c r="O389" t="s">
        <v>33</v>
      </c>
      <c r="P389" t="s">
        <v>34</v>
      </c>
      <c r="Q389">
        <v>1</v>
      </c>
      <c r="R389">
        <v>0</v>
      </c>
      <c r="S389" s="2" t="str">
        <f>IFERROR(VLOOKUP(C389,Sheet2!B:E,4,0),C389)</f>
        <v>一般产品</v>
      </c>
    </row>
    <row r="390" spans="1:19" x14ac:dyDescent="0.2">
      <c r="A390" t="s">
        <v>2272</v>
      </c>
      <c r="B390">
        <v>1400</v>
      </c>
      <c r="C390" t="s">
        <v>26</v>
      </c>
      <c r="D390" t="s">
        <v>2257</v>
      </c>
      <c r="E390" t="s">
        <v>973</v>
      </c>
      <c r="F390" t="s">
        <v>696</v>
      </c>
      <c r="G390" s="2" t="s">
        <v>697</v>
      </c>
      <c r="H390" t="s">
        <v>18</v>
      </c>
      <c r="I390" t="s">
        <v>221</v>
      </c>
      <c r="J390" t="s">
        <v>222</v>
      </c>
      <c r="K390" t="s">
        <v>930</v>
      </c>
      <c r="L390" t="s">
        <v>930</v>
      </c>
      <c r="M390" t="s">
        <v>223</v>
      </c>
      <c r="N390" t="s">
        <v>55</v>
      </c>
      <c r="O390" t="s">
        <v>33</v>
      </c>
      <c r="P390" t="s">
        <v>34</v>
      </c>
      <c r="Q390">
        <v>1</v>
      </c>
      <c r="R390">
        <v>0</v>
      </c>
      <c r="S390" s="2" t="str">
        <f>IFERROR(VLOOKUP(C390,Sheet2!B:E,4,0),C390)</f>
        <v>一般产品</v>
      </c>
    </row>
    <row r="391" spans="1:19" x14ac:dyDescent="0.2">
      <c r="A391" t="s">
        <v>2273</v>
      </c>
      <c r="B391">
        <v>1998</v>
      </c>
      <c r="C391" t="s">
        <v>26</v>
      </c>
      <c r="D391" t="s">
        <v>726</v>
      </c>
      <c r="E391" t="s">
        <v>2274</v>
      </c>
      <c r="F391" t="s">
        <v>2275</v>
      </c>
      <c r="G391" s="2" t="s">
        <v>2276</v>
      </c>
      <c r="H391" t="s">
        <v>18</v>
      </c>
      <c r="I391" t="s">
        <v>242</v>
      </c>
      <c r="J391" t="s">
        <v>243</v>
      </c>
      <c r="K391" t="s">
        <v>930</v>
      </c>
      <c r="L391" t="s">
        <v>930</v>
      </c>
      <c r="M391" t="s">
        <v>244</v>
      </c>
      <c r="N391" t="s">
        <v>46</v>
      </c>
      <c r="O391" t="s">
        <v>63</v>
      </c>
      <c r="P391" t="s">
        <v>34</v>
      </c>
      <c r="Q391">
        <v>1</v>
      </c>
      <c r="R391">
        <v>0</v>
      </c>
      <c r="S391" s="2" t="str">
        <f>IFERROR(VLOOKUP(C391,Sheet2!B:E,4,0),C391)</f>
        <v>一般产品</v>
      </c>
    </row>
    <row r="392" spans="1:19" x14ac:dyDescent="0.2">
      <c r="A392" t="s">
        <v>2277</v>
      </c>
      <c r="B392">
        <v>3510</v>
      </c>
      <c r="C392" t="s">
        <v>26</v>
      </c>
      <c r="D392" t="s">
        <v>50</v>
      </c>
      <c r="E392" t="s">
        <v>2278</v>
      </c>
      <c r="F392" t="s">
        <v>177</v>
      </c>
      <c r="G392" s="2" t="s">
        <v>178</v>
      </c>
      <c r="H392" t="s">
        <v>28</v>
      </c>
      <c r="I392" t="s">
        <v>81</v>
      </c>
      <c r="J392" t="s">
        <v>1230</v>
      </c>
      <c r="K392" t="s">
        <v>930</v>
      </c>
      <c r="L392" t="s">
        <v>930</v>
      </c>
      <c r="M392" t="s">
        <v>1231</v>
      </c>
      <c r="N392" t="s">
        <v>68</v>
      </c>
      <c r="O392" t="s">
        <v>33</v>
      </c>
      <c r="P392" t="s">
        <v>34</v>
      </c>
      <c r="Q392">
        <v>1</v>
      </c>
      <c r="R392">
        <v>0</v>
      </c>
      <c r="S392" s="2" t="str">
        <f>IFERROR(VLOOKUP(C392,Sheet2!B:E,4,0),C392)</f>
        <v>一般产品</v>
      </c>
    </row>
    <row r="393" spans="1:19" x14ac:dyDescent="0.2">
      <c r="A393" t="s">
        <v>2279</v>
      </c>
      <c r="B393">
        <v>3598</v>
      </c>
      <c r="C393" t="s">
        <v>26</v>
      </c>
      <c r="D393" t="s">
        <v>50</v>
      </c>
      <c r="E393" t="s">
        <v>1264</v>
      </c>
      <c r="F393" t="s">
        <v>391</v>
      </c>
      <c r="G393" s="2" t="s">
        <v>392</v>
      </c>
      <c r="H393" t="s">
        <v>18</v>
      </c>
      <c r="I393" t="s">
        <v>934</v>
      </c>
      <c r="J393" t="s">
        <v>935</v>
      </c>
      <c r="K393" t="s">
        <v>930</v>
      </c>
      <c r="L393" t="s">
        <v>930</v>
      </c>
      <c r="M393" t="s">
        <v>936</v>
      </c>
      <c r="N393" t="s">
        <v>45</v>
      </c>
      <c r="O393" t="s">
        <v>48</v>
      </c>
      <c r="P393" t="s">
        <v>49</v>
      </c>
      <c r="Q393">
        <v>1</v>
      </c>
      <c r="R393">
        <v>0</v>
      </c>
      <c r="S393" s="2" t="str">
        <f>IFERROR(VLOOKUP(C393,Sheet2!B:E,4,0),C393)</f>
        <v>一般产品</v>
      </c>
    </row>
    <row r="394" spans="1:19" x14ac:dyDescent="0.2">
      <c r="A394" t="s">
        <v>2280</v>
      </c>
      <c r="B394">
        <v>2000</v>
      </c>
      <c r="C394" t="s">
        <v>26</v>
      </c>
      <c r="D394" t="s">
        <v>2257</v>
      </c>
      <c r="E394" t="s">
        <v>2281</v>
      </c>
      <c r="F394" t="s">
        <v>592</v>
      </c>
      <c r="G394" s="2" t="s">
        <v>593</v>
      </c>
      <c r="H394" t="s">
        <v>28</v>
      </c>
      <c r="I394" t="s">
        <v>473</v>
      </c>
      <c r="J394" t="s">
        <v>474</v>
      </c>
      <c r="K394" t="s">
        <v>930</v>
      </c>
      <c r="L394" t="s">
        <v>930</v>
      </c>
      <c r="M394" t="s">
        <v>475</v>
      </c>
      <c r="N394" t="s">
        <v>47</v>
      </c>
      <c r="O394" t="s">
        <v>33</v>
      </c>
      <c r="P394" t="s">
        <v>34</v>
      </c>
      <c r="Q394">
        <v>1</v>
      </c>
      <c r="R394">
        <v>0</v>
      </c>
      <c r="S394" s="2" t="str">
        <f>IFERROR(VLOOKUP(C394,Sheet2!B:E,4,0),C394)</f>
        <v>一般产品</v>
      </c>
    </row>
    <row r="395" spans="1:19" x14ac:dyDescent="0.2">
      <c r="A395" t="s">
        <v>2282</v>
      </c>
      <c r="B395">
        <v>4500</v>
      </c>
      <c r="C395" t="s">
        <v>26</v>
      </c>
      <c r="D395" t="s">
        <v>50</v>
      </c>
      <c r="E395" t="s">
        <v>661</v>
      </c>
      <c r="F395" t="s">
        <v>635</v>
      </c>
      <c r="G395" s="2" t="s">
        <v>636</v>
      </c>
      <c r="H395" t="s">
        <v>18</v>
      </c>
      <c r="I395" t="s">
        <v>255</v>
      </c>
      <c r="J395" t="s">
        <v>256</v>
      </c>
      <c r="K395" t="s">
        <v>930</v>
      </c>
      <c r="L395" t="s">
        <v>930</v>
      </c>
      <c r="M395" t="s">
        <v>257</v>
      </c>
      <c r="N395" t="s">
        <v>47</v>
      </c>
      <c r="O395" t="s">
        <v>33</v>
      </c>
      <c r="P395" t="s">
        <v>34</v>
      </c>
      <c r="Q395">
        <v>1</v>
      </c>
      <c r="R395">
        <v>0</v>
      </c>
      <c r="S395" s="2" t="str">
        <f>IFERROR(VLOOKUP(C395,Sheet2!B:E,4,0),C395)</f>
        <v>一般产品</v>
      </c>
    </row>
    <row r="396" spans="1:19" x14ac:dyDescent="0.2">
      <c r="A396" t="s">
        <v>2283</v>
      </c>
      <c r="B396">
        <v>2999</v>
      </c>
      <c r="C396" t="s">
        <v>589</v>
      </c>
      <c r="D396" t="s">
        <v>2257</v>
      </c>
      <c r="E396" t="s">
        <v>2284</v>
      </c>
      <c r="F396" t="s">
        <v>570</v>
      </c>
      <c r="G396" s="2" t="s">
        <v>571</v>
      </c>
      <c r="H396" t="s">
        <v>18</v>
      </c>
      <c r="I396" t="s">
        <v>227</v>
      </c>
      <c r="J396" t="s">
        <v>228</v>
      </c>
      <c r="K396" t="s">
        <v>930</v>
      </c>
      <c r="L396" t="s">
        <v>930</v>
      </c>
      <c r="M396" t="s">
        <v>229</v>
      </c>
      <c r="N396" t="s">
        <v>194</v>
      </c>
      <c r="O396" t="s">
        <v>24</v>
      </c>
      <c r="P396" t="s">
        <v>25</v>
      </c>
      <c r="Q396">
        <v>1</v>
      </c>
      <c r="R396">
        <v>0</v>
      </c>
      <c r="S396" s="2" t="str">
        <f>IFERROR(VLOOKUP(C396,Sheet2!B:E,4,0),C396)</f>
        <v>优惠产品</v>
      </c>
    </row>
    <row r="397" spans="1:19" x14ac:dyDescent="0.2">
      <c r="A397" t="s">
        <v>2285</v>
      </c>
      <c r="B397">
        <v>1200</v>
      </c>
      <c r="C397" t="s">
        <v>26</v>
      </c>
      <c r="D397" t="s">
        <v>50</v>
      </c>
      <c r="E397" t="s">
        <v>310</v>
      </c>
      <c r="F397" t="s">
        <v>1365</v>
      </c>
      <c r="G397" s="2" t="s">
        <v>1366</v>
      </c>
      <c r="H397" t="s">
        <v>18</v>
      </c>
      <c r="I397" t="s">
        <v>107</v>
      </c>
      <c r="J397" t="s">
        <v>1046</v>
      </c>
      <c r="K397" t="s">
        <v>930</v>
      </c>
      <c r="L397" t="s">
        <v>930</v>
      </c>
      <c r="M397" t="s">
        <v>1047</v>
      </c>
      <c r="N397" t="s">
        <v>108</v>
      </c>
      <c r="O397" t="s">
        <v>33</v>
      </c>
      <c r="P397" t="s">
        <v>34</v>
      </c>
      <c r="Q397">
        <v>1</v>
      </c>
      <c r="R397">
        <v>0</v>
      </c>
      <c r="S397" s="2" t="str">
        <f>IFERROR(VLOOKUP(C397,Sheet2!B:E,4,0),C397)</f>
        <v>一般产品</v>
      </c>
    </row>
    <row r="398" spans="1:19" x14ac:dyDescent="0.2">
      <c r="A398" t="s">
        <v>2286</v>
      </c>
      <c r="B398">
        <v>2998</v>
      </c>
      <c r="C398" t="s">
        <v>642</v>
      </c>
      <c r="D398" t="s">
        <v>2257</v>
      </c>
      <c r="E398" t="s">
        <v>1218</v>
      </c>
      <c r="F398" t="s">
        <v>137</v>
      </c>
      <c r="G398" s="2" t="s">
        <v>138</v>
      </c>
      <c r="H398" t="s">
        <v>18</v>
      </c>
      <c r="I398" t="s">
        <v>139</v>
      </c>
      <c r="J398" t="s">
        <v>140</v>
      </c>
      <c r="K398" t="s">
        <v>930</v>
      </c>
      <c r="L398" t="s">
        <v>930</v>
      </c>
      <c r="M398" t="s">
        <v>141</v>
      </c>
      <c r="N398" t="s">
        <v>136</v>
      </c>
      <c r="O398" t="s">
        <v>95</v>
      </c>
      <c r="P398" t="s">
        <v>90</v>
      </c>
      <c r="Q398">
        <v>1</v>
      </c>
      <c r="R398">
        <v>0</v>
      </c>
      <c r="S398" s="2" t="str">
        <f>IFERROR(VLOOKUP(C398,Sheet2!B:E,4,0),C398)</f>
        <v>优惠购</v>
      </c>
    </row>
    <row r="399" spans="1:19" x14ac:dyDescent="0.2">
      <c r="A399" t="s">
        <v>2287</v>
      </c>
      <c r="B399">
        <v>3298</v>
      </c>
      <c r="C399" t="s">
        <v>575</v>
      </c>
      <c r="D399" t="s">
        <v>50</v>
      </c>
      <c r="E399" t="s">
        <v>2288</v>
      </c>
      <c r="F399" t="s">
        <v>1383</v>
      </c>
      <c r="G399" s="2" t="s">
        <v>1357</v>
      </c>
      <c r="H399" t="s">
        <v>18</v>
      </c>
      <c r="I399" t="s">
        <v>216</v>
      </c>
      <c r="J399" t="s">
        <v>217</v>
      </c>
      <c r="K399" t="s">
        <v>930</v>
      </c>
      <c r="L399" t="s">
        <v>930</v>
      </c>
      <c r="M399" t="s">
        <v>218</v>
      </c>
      <c r="N399" t="s">
        <v>114</v>
      </c>
      <c r="O399" t="s">
        <v>24</v>
      </c>
      <c r="P399" t="s">
        <v>25</v>
      </c>
      <c r="Q399">
        <v>1</v>
      </c>
      <c r="R399">
        <v>0</v>
      </c>
      <c r="S399" s="2" t="str">
        <f>IFERROR(VLOOKUP(C399,Sheet2!B:E,4,0),C399)</f>
        <v>优惠产品</v>
      </c>
    </row>
    <row r="400" spans="1:19" x14ac:dyDescent="0.2">
      <c r="A400" t="s">
        <v>2289</v>
      </c>
      <c r="B400">
        <v>2100</v>
      </c>
      <c r="C400" t="s">
        <v>26</v>
      </c>
      <c r="D400" t="s">
        <v>50</v>
      </c>
      <c r="E400" t="s">
        <v>594</v>
      </c>
      <c r="F400" t="s">
        <v>2290</v>
      </c>
      <c r="G400" s="2" t="s">
        <v>2291</v>
      </c>
      <c r="H400" t="s">
        <v>18</v>
      </c>
      <c r="I400" t="s">
        <v>107</v>
      </c>
      <c r="J400" t="s">
        <v>1046</v>
      </c>
      <c r="K400" t="s">
        <v>930</v>
      </c>
      <c r="L400" t="s">
        <v>930</v>
      </c>
      <c r="M400" t="s">
        <v>1047</v>
      </c>
      <c r="N400" t="s">
        <v>108</v>
      </c>
      <c r="O400" t="s">
        <v>33</v>
      </c>
      <c r="P400" t="s">
        <v>34</v>
      </c>
      <c r="Q400">
        <v>1</v>
      </c>
      <c r="R400">
        <v>0</v>
      </c>
      <c r="S400" s="2" t="str">
        <f>IFERROR(VLOOKUP(C400,Sheet2!B:E,4,0),C400)</f>
        <v>一般产品</v>
      </c>
    </row>
    <row r="401" spans="1:19" x14ac:dyDescent="0.2">
      <c r="A401" t="s">
        <v>2292</v>
      </c>
      <c r="B401">
        <v>4000</v>
      </c>
      <c r="C401" t="s">
        <v>26</v>
      </c>
      <c r="D401" t="s">
        <v>2257</v>
      </c>
      <c r="E401" t="s">
        <v>2293</v>
      </c>
      <c r="F401" t="s">
        <v>1271</v>
      </c>
      <c r="G401" s="2" t="s">
        <v>1272</v>
      </c>
      <c r="H401" t="s">
        <v>18</v>
      </c>
      <c r="I401" t="s">
        <v>930</v>
      </c>
      <c r="J401" t="s">
        <v>930</v>
      </c>
      <c r="K401" t="s">
        <v>163</v>
      </c>
      <c r="L401" t="s">
        <v>930</v>
      </c>
      <c r="M401" t="s">
        <v>931</v>
      </c>
      <c r="N401" t="s">
        <v>68</v>
      </c>
      <c r="O401" t="s">
        <v>33</v>
      </c>
      <c r="P401" t="s">
        <v>34</v>
      </c>
      <c r="Q401">
        <v>1</v>
      </c>
      <c r="R401">
        <v>0</v>
      </c>
      <c r="S401" s="2" t="str">
        <f>IFERROR(VLOOKUP(C401,Sheet2!B:E,4,0),C401)</f>
        <v>一般产品</v>
      </c>
    </row>
    <row r="402" spans="1:19" x14ac:dyDescent="0.2">
      <c r="A402" t="s">
        <v>2294</v>
      </c>
      <c r="B402">
        <v>2700</v>
      </c>
      <c r="C402" t="s">
        <v>26</v>
      </c>
      <c r="D402" t="s">
        <v>50</v>
      </c>
      <c r="E402" t="s">
        <v>365</v>
      </c>
      <c r="F402" t="s">
        <v>771</v>
      </c>
      <c r="G402" s="2" t="s">
        <v>772</v>
      </c>
      <c r="H402" t="s">
        <v>18</v>
      </c>
      <c r="I402" t="s">
        <v>97</v>
      </c>
      <c r="J402" t="s">
        <v>98</v>
      </c>
      <c r="K402" t="s">
        <v>930</v>
      </c>
      <c r="L402" t="s">
        <v>930</v>
      </c>
      <c r="M402" t="s">
        <v>99</v>
      </c>
      <c r="N402" t="s">
        <v>55</v>
      </c>
      <c r="O402" t="s">
        <v>33</v>
      </c>
      <c r="P402" t="s">
        <v>34</v>
      </c>
      <c r="Q402">
        <v>1</v>
      </c>
      <c r="R402">
        <v>0</v>
      </c>
      <c r="S402" s="2" t="str">
        <f>IFERROR(VLOOKUP(C402,Sheet2!B:E,4,0),C402)</f>
        <v>一般产品</v>
      </c>
    </row>
    <row r="403" spans="1:19" x14ac:dyDescent="0.2">
      <c r="A403" t="s">
        <v>2295</v>
      </c>
      <c r="B403">
        <v>2999</v>
      </c>
      <c r="C403" t="s">
        <v>575</v>
      </c>
      <c r="D403" t="s">
        <v>50</v>
      </c>
      <c r="E403" t="s">
        <v>813</v>
      </c>
      <c r="F403" t="s">
        <v>683</v>
      </c>
      <c r="G403" s="2" t="s">
        <v>684</v>
      </c>
      <c r="H403" t="s">
        <v>18</v>
      </c>
      <c r="I403" t="s">
        <v>111</v>
      </c>
      <c r="J403" t="s">
        <v>112</v>
      </c>
      <c r="K403" t="s">
        <v>930</v>
      </c>
      <c r="L403" t="s">
        <v>930</v>
      </c>
      <c r="M403" t="s">
        <v>113</v>
      </c>
      <c r="N403" t="s">
        <v>114</v>
      </c>
      <c r="O403" t="s">
        <v>24</v>
      </c>
      <c r="P403" t="s">
        <v>25</v>
      </c>
      <c r="Q403">
        <v>1</v>
      </c>
      <c r="R403">
        <v>0</v>
      </c>
      <c r="S403" s="2" t="str">
        <f>IFERROR(VLOOKUP(C403,Sheet2!B:E,4,0),C403)</f>
        <v>优惠产品</v>
      </c>
    </row>
    <row r="404" spans="1:19" x14ac:dyDescent="0.2">
      <c r="A404" t="s">
        <v>2296</v>
      </c>
      <c r="B404">
        <v>1899</v>
      </c>
      <c r="C404" t="s">
        <v>575</v>
      </c>
      <c r="D404" t="s">
        <v>971</v>
      </c>
      <c r="E404" t="s">
        <v>1428</v>
      </c>
      <c r="F404" t="s">
        <v>837</v>
      </c>
      <c r="G404" s="2" t="s">
        <v>838</v>
      </c>
      <c r="H404" t="s">
        <v>28</v>
      </c>
      <c r="I404" t="s">
        <v>133</v>
      </c>
      <c r="J404" t="s">
        <v>134</v>
      </c>
      <c r="K404" t="s">
        <v>930</v>
      </c>
      <c r="L404" t="s">
        <v>930</v>
      </c>
      <c r="M404" t="s">
        <v>135</v>
      </c>
      <c r="N404" t="s">
        <v>73</v>
      </c>
      <c r="O404" t="s">
        <v>24</v>
      </c>
      <c r="P404" t="s">
        <v>25</v>
      </c>
      <c r="Q404">
        <v>1</v>
      </c>
      <c r="R404">
        <v>0</v>
      </c>
      <c r="S404" s="2" t="str">
        <f>IFERROR(VLOOKUP(C404,Sheet2!B:E,4,0),C404)</f>
        <v>优惠产品</v>
      </c>
    </row>
    <row r="405" spans="1:19" x14ac:dyDescent="0.2">
      <c r="A405" t="s">
        <v>2297</v>
      </c>
      <c r="B405">
        <v>3980</v>
      </c>
      <c r="C405" t="s">
        <v>575</v>
      </c>
      <c r="D405" t="s">
        <v>971</v>
      </c>
      <c r="E405" t="s">
        <v>717</v>
      </c>
      <c r="F405" t="s">
        <v>1565</v>
      </c>
      <c r="G405" s="2" t="s">
        <v>1566</v>
      </c>
      <c r="H405" t="s">
        <v>18</v>
      </c>
      <c r="I405" t="s">
        <v>467</v>
      </c>
      <c r="J405" t="s">
        <v>468</v>
      </c>
      <c r="K405" t="s">
        <v>930</v>
      </c>
      <c r="L405" t="s">
        <v>930</v>
      </c>
      <c r="M405" t="s">
        <v>469</v>
      </c>
      <c r="N405" t="s">
        <v>61</v>
      </c>
      <c r="O405" t="s">
        <v>129</v>
      </c>
      <c r="P405" t="s">
        <v>25</v>
      </c>
      <c r="Q405">
        <v>1</v>
      </c>
      <c r="R405">
        <v>0</v>
      </c>
      <c r="S405" s="2" t="str">
        <f>IFERROR(VLOOKUP(C405,Sheet2!B:E,4,0),C405)</f>
        <v>优惠产品</v>
      </c>
    </row>
    <row r="406" spans="1:19" x14ac:dyDescent="0.2">
      <c r="A406" t="s">
        <v>2298</v>
      </c>
      <c r="B406">
        <v>2598</v>
      </c>
      <c r="C406" t="s">
        <v>575</v>
      </c>
      <c r="D406" t="s">
        <v>2257</v>
      </c>
      <c r="E406" t="s">
        <v>2299</v>
      </c>
      <c r="F406" t="s">
        <v>1070</v>
      </c>
      <c r="G406" s="2" t="s">
        <v>1071</v>
      </c>
      <c r="H406" t="s">
        <v>18</v>
      </c>
      <c r="I406" t="s">
        <v>307</v>
      </c>
      <c r="J406" t="s">
        <v>308</v>
      </c>
      <c r="K406" t="s">
        <v>930</v>
      </c>
      <c r="L406" t="s">
        <v>930</v>
      </c>
      <c r="M406" t="s">
        <v>309</v>
      </c>
      <c r="N406" t="s">
        <v>94</v>
      </c>
      <c r="O406" t="s">
        <v>95</v>
      </c>
      <c r="P406" t="s">
        <v>90</v>
      </c>
      <c r="Q406">
        <v>1</v>
      </c>
      <c r="R406">
        <v>0</v>
      </c>
      <c r="S406" s="2" t="str">
        <f>IFERROR(VLOOKUP(C406,Sheet2!B:E,4,0),C406)</f>
        <v>优惠产品</v>
      </c>
    </row>
    <row r="407" spans="1:19" x14ac:dyDescent="0.2">
      <c r="A407" t="s">
        <v>2300</v>
      </c>
      <c r="B407">
        <v>1399</v>
      </c>
      <c r="C407" t="s">
        <v>26</v>
      </c>
      <c r="D407" t="s">
        <v>50</v>
      </c>
      <c r="E407" t="s">
        <v>2301</v>
      </c>
      <c r="F407" t="s">
        <v>2302</v>
      </c>
      <c r="G407" s="2" t="s">
        <v>2303</v>
      </c>
      <c r="H407" t="s">
        <v>28</v>
      </c>
      <c r="I407" t="s">
        <v>207</v>
      </c>
      <c r="J407" t="s">
        <v>208</v>
      </c>
      <c r="K407" t="s">
        <v>930</v>
      </c>
      <c r="L407" t="s">
        <v>930</v>
      </c>
      <c r="M407" t="s">
        <v>209</v>
      </c>
      <c r="N407" t="s">
        <v>32</v>
      </c>
      <c r="O407" t="s">
        <v>33</v>
      </c>
      <c r="P407" t="s">
        <v>34</v>
      </c>
      <c r="Q407">
        <v>1</v>
      </c>
      <c r="R407">
        <v>0</v>
      </c>
      <c r="S407" s="2" t="str">
        <f>IFERROR(VLOOKUP(C407,Sheet2!B:E,4,0),C407)</f>
        <v>一般产品</v>
      </c>
    </row>
    <row r="408" spans="1:19" x14ac:dyDescent="0.2">
      <c r="A408" t="s">
        <v>2304</v>
      </c>
      <c r="B408">
        <v>2999</v>
      </c>
      <c r="C408" t="s">
        <v>26</v>
      </c>
      <c r="D408" t="s">
        <v>50</v>
      </c>
      <c r="E408" t="s">
        <v>2305</v>
      </c>
      <c r="F408" t="s">
        <v>650</v>
      </c>
      <c r="G408" s="2" t="s">
        <v>651</v>
      </c>
      <c r="H408" t="s">
        <v>18</v>
      </c>
      <c r="I408" t="s">
        <v>930</v>
      </c>
      <c r="J408" t="s">
        <v>930</v>
      </c>
      <c r="K408" t="s">
        <v>106</v>
      </c>
      <c r="L408" t="s">
        <v>930</v>
      </c>
      <c r="M408" t="s">
        <v>1456</v>
      </c>
      <c r="N408" t="s">
        <v>108</v>
      </c>
      <c r="O408" t="s">
        <v>33</v>
      </c>
      <c r="P408" t="s">
        <v>34</v>
      </c>
      <c r="Q408">
        <v>1</v>
      </c>
      <c r="R408">
        <v>0</v>
      </c>
      <c r="S408" s="2" t="str">
        <f>IFERROR(VLOOKUP(C408,Sheet2!B:E,4,0),C408)</f>
        <v>一般产品</v>
      </c>
    </row>
    <row r="409" spans="1:19" x14ac:dyDescent="0.2">
      <c r="A409" t="s">
        <v>2306</v>
      </c>
      <c r="B409">
        <v>3380</v>
      </c>
      <c r="C409" t="s">
        <v>589</v>
      </c>
      <c r="D409" t="s">
        <v>2257</v>
      </c>
      <c r="E409" t="s">
        <v>2307</v>
      </c>
      <c r="F409" t="s">
        <v>327</v>
      </c>
      <c r="G409" s="2" t="s">
        <v>328</v>
      </c>
      <c r="H409" t="s">
        <v>18</v>
      </c>
      <c r="I409" t="s">
        <v>301</v>
      </c>
      <c r="J409" t="s">
        <v>302</v>
      </c>
      <c r="K409" t="s">
        <v>930</v>
      </c>
      <c r="L409" t="s">
        <v>930</v>
      </c>
      <c r="M409" t="s">
        <v>303</v>
      </c>
      <c r="N409" t="s">
        <v>194</v>
      </c>
      <c r="O409" t="s">
        <v>24</v>
      </c>
      <c r="P409" t="s">
        <v>25</v>
      </c>
      <c r="Q409">
        <v>1</v>
      </c>
      <c r="R409">
        <v>0</v>
      </c>
      <c r="S409" s="2" t="str">
        <f>IFERROR(VLOOKUP(C409,Sheet2!B:E,4,0),C409)</f>
        <v>优惠产品</v>
      </c>
    </row>
    <row r="410" spans="1:19" x14ac:dyDescent="0.2">
      <c r="A410" t="s">
        <v>2308</v>
      </c>
      <c r="B410">
        <v>1405</v>
      </c>
      <c r="C410" t="s">
        <v>26</v>
      </c>
      <c r="D410" t="s">
        <v>50</v>
      </c>
      <c r="E410" t="s">
        <v>2309</v>
      </c>
      <c r="F410" t="s">
        <v>747</v>
      </c>
      <c r="G410" s="2" t="s">
        <v>748</v>
      </c>
      <c r="H410" t="s">
        <v>18</v>
      </c>
      <c r="I410" t="s">
        <v>118</v>
      </c>
      <c r="J410" t="s">
        <v>119</v>
      </c>
      <c r="K410" t="s">
        <v>930</v>
      </c>
      <c r="L410" t="s">
        <v>930</v>
      </c>
      <c r="M410" t="s">
        <v>120</v>
      </c>
      <c r="N410" t="s">
        <v>85</v>
      </c>
      <c r="O410" t="s">
        <v>33</v>
      </c>
      <c r="P410" t="s">
        <v>34</v>
      </c>
      <c r="Q410">
        <v>1</v>
      </c>
      <c r="R410">
        <v>0</v>
      </c>
      <c r="S410" s="2" t="str">
        <f>IFERROR(VLOOKUP(C410,Sheet2!B:E,4,0),C410)</f>
        <v>一般产品</v>
      </c>
    </row>
    <row r="411" spans="1:19" x14ac:dyDescent="0.2">
      <c r="A411" t="s">
        <v>2310</v>
      </c>
      <c r="B411">
        <v>1500</v>
      </c>
      <c r="C411" t="s">
        <v>589</v>
      </c>
      <c r="D411" t="s">
        <v>971</v>
      </c>
      <c r="E411" t="s">
        <v>2311</v>
      </c>
      <c r="F411" t="s">
        <v>2312</v>
      </c>
      <c r="G411" s="2" t="s">
        <v>2313</v>
      </c>
      <c r="H411" t="s">
        <v>18</v>
      </c>
      <c r="I411" t="s">
        <v>191</v>
      </c>
      <c r="J411" t="s">
        <v>192</v>
      </c>
      <c r="K411" t="s">
        <v>930</v>
      </c>
      <c r="L411" t="s">
        <v>930</v>
      </c>
      <c r="M411" t="s">
        <v>193</v>
      </c>
      <c r="N411" t="s">
        <v>194</v>
      </c>
      <c r="O411" t="s">
        <v>24</v>
      </c>
      <c r="P411" t="s">
        <v>25</v>
      </c>
      <c r="Q411">
        <v>1</v>
      </c>
      <c r="R411">
        <v>0</v>
      </c>
      <c r="S411" s="2" t="str">
        <f>IFERROR(VLOOKUP(C411,Sheet2!B:E,4,0),C411)</f>
        <v>优惠产品</v>
      </c>
    </row>
    <row r="412" spans="1:19" x14ac:dyDescent="0.2">
      <c r="A412" t="s">
        <v>2314</v>
      </c>
      <c r="B412">
        <v>1500</v>
      </c>
      <c r="C412" t="s">
        <v>26</v>
      </c>
      <c r="D412" t="s">
        <v>50</v>
      </c>
      <c r="E412" t="s">
        <v>767</v>
      </c>
      <c r="F412" t="s">
        <v>440</v>
      </c>
      <c r="G412" s="2" t="s">
        <v>441</v>
      </c>
      <c r="H412" t="s">
        <v>18</v>
      </c>
      <c r="I412" t="s">
        <v>52</v>
      </c>
      <c r="J412" t="s">
        <v>53</v>
      </c>
      <c r="K412" t="s">
        <v>930</v>
      </c>
      <c r="L412" t="s">
        <v>930</v>
      </c>
      <c r="M412" t="s">
        <v>54</v>
      </c>
      <c r="N412" t="s">
        <v>55</v>
      </c>
      <c r="O412" t="s">
        <v>33</v>
      </c>
      <c r="P412" t="s">
        <v>34</v>
      </c>
      <c r="Q412">
        <v>1</v>
      </c>
      <c r="R412">
        <v>0</v>
      </c>
      <c r="S412" s="2" t="str">
        <f>IFERROR(VLOOKUP(C412,Sheet2!B:E,4,0),C412)</f>
        <v>一般产品</v>
      </c>
    </row>
    <row r="413" spans="1:19" x14ac:dyDescent="0.2">
      <c r="A413" t="s">
        <v>2315</v>
      </c>
      <c r="B413">
        <v>3300</v>
      </c>
      <c r="C413" t="s">
        <v>26</v>
      </c>
      <c r="D413" t="s">
        <v>50</v>
      </c>
      <c r="E413" t="s">
        <v>1450</v>
      </c>
      <c r="F413" t="s">
        <v>635</v>
      </c>
      <c r="G413" s="2" t="s">
        <v>636</v>
      </c>
      <c r="H413" t="s">
        <v>18</v>
      </c>
      <c r="I413" t="s">
        <v>255</v>
      </c>
      <c r="J413" t="s">
        <v>256</v>
      </c>
      <c r="K413" t="s">
        <v>930</v>
      </c>
      <c r="L413" t="s">
        <v>930</v>
      </c>
      <c r="M413" t="s">
        <v>257</v>
      </c>
      <c r="N413" t="s">
        <v>47</v>
      </c>
      <c r="O413" t="s">
        <v>33</v>
      </c>
      <c r="P413" t="s">
        <v>34</v>
      </c>
      <c r="Q413">
        <v>1</v>
      </c>
      <c r="R413">
        <v>0</v>
      </c>
      <c r="S413" s="2" t="str">
        <f>IFERROR(VLOOKUP(C413,Sheet2!B:E,4,0),C413)</f>
        <v>一般产品</v>
      </c>
    </row>
    <row r="414" spans="1:19" x14ac:dyDescent="0.2">
      <c r="A414" t="s">
        <v>2316</v>
      </c>
      <c r="B414">
        <v>3199</v>
      </c>
      <c r="C414" t="s">
        <v>26</v>
      </c>
      <c r="D414" t="s">
        <v>50</v>
      </c>
      <c r="E414" t="s">
        <v>413</v>
      </c>
      <c r="F414" t="s">
        <v>478</v>
      </c>
      <c r="G414" s="2" t="s">
        <v>479</v>
      </c>
      <c r="H414" t="s">
        <v>18</v>
      </c>
      <c r="I414" t="s">
        <v>121</v>
      </c>
      <c r="J414" t="s">
        <v>122</v>
      </c>
      <c r="K414" t="s">
        <v>930</v>
      </c>
      <c r="L414" t="s">
        <v>930</v>
      </c>
      <c r="M414" t="s">
        <v>123</v>
      </c>
      <c r="N414" t="s">
        <v>55</v>
      </c>
      <c r="O414" t="s">
        <v>33</v>
      </c>
      <c r="P414" t="s">
        <v>34</v>
      </c>
      <c r="Q414">
        <v>1</v>
      </c>
      <c r="R414">
        <v>0</v>
      </c>
      <c r="S414" s="2" t="str">
        <f>IFERROR(VLOOKUP(C414,Sheet2!B:E,4,0),C414)</f>
        <v>一般产品</v>
      </c>
    </row>
    <row r="415" spans="1:19" x14ac:dyDescent="0.2">
      <c r="A415" t="s">
        <v>2317</v>
      </c>
      <c r="B415">
        <v>2298</v>
      </c>
      <c r="C415" t="s">
        <v>589</v>
      </c>
      <c r="D415" t="s">
        <v>2257</v>
      </c>
      <c r="E415" t="s">
        <v>1985</v>
      </c>
      <c r="F415" t="s">
        <v>662</v>
      </c>
      <c r="G415" s="2" t="s">
        <v>663</v>
      </c>
      <c r="H415" t="s">
        <v>18</v>
      </c>
      <c r="I415" t="s">
        <v>524</v>
      </c>
      <c r="J415" t="s">
        <v>525</v>
      </c>
      <c r="K415" t="s">
        <v>930</v>
      </c>
      <c r="L415" t="s">
        <v>930</v>
      </c>
      <c r="M415" t="s">
        <v>526</v>
      </c>
      <c r="N415" t="s">
        <v>194</v>
      </c>
      <c r="O415" t="s">
        <v>24</v>
      </c>
      <c r="P415" t="s">
        <v>25</v>
      </c>
      <c r="Q415">
        <v>1</v>
      </c>
      <c r="R415">
        <v>0</v>
      </c>
      <c r="S415" s="2" t="str">
        <f>IFERROR(VLOOKUP(C415,Sheet2!B:E,4,0),C415)</f>
        <v>优惠产品</v>
      </c>
    </row>
    <row r="416" spans="1:19" x14ac:dyDescent="0.2">
      <c r="A416" t="s">
        <v>2318</v>
      </c>
      <c r="B416">
        <v>3800</v>
      </c>
      <c r="C416" t="s">
        <v>26</v>
      </c>
      <c r="D416" t="s">
        <v>726</v>
      </c>
      <c r="E416" t="s">
        <v>1350</v>
      </c>
      <c r="F416" t="s">
        <v>361</v>
      </c>
      <c r="G416" s="2" t="s">
        <v>362</v>
      </c>
      <c r="H416" t="s">
        <v>18</v>
      </c>
      <c r="I416" t="s">
        <v>260</v>
      </c>
      <c r="J416" t="s">
        <v>261</v>
      </c>
      <c r="K416" t="s">
        <v>930</v>
      </c>
      <c r="L416" t="s">
        <v>930</v>
      </c>
      <c r="M416" t="s">
        <v>262</v>
      </c>
      <c r="N416" t="s">
        <v>45</v>
      </c>
      <c r="O416" t="s">
        <v>48</v>
      </c>
      <c r="P416" t="s">
        <v>49</v>
      </c>
      <c r="Q416">
        <v>1</v>
      </c>
      <c r="R416">
        <v>0</v>
      </c>
      <c r="S416" s="2" t="str">
        <f>IFERROR(VLOOKUP(C416,Sheet2!B:E,4,0),C416)</f>
        <v>一般产品</v>
      </c>
    </row>
    <row r="417" spans="1:19" x14ac:dyDescent="0.2">
      <c r="A417" t="s">
        <v>2319</v>
      </c>
      <c r="B417">
        <v>2100</v>
      </c>
      <c r="C417" t="s">
        <v>26</v>
      </c>
      <c r="D417" t="s">
        <v>50</v>
      </c>
      <c r="E417" t="s">
        <v>2320</v>
      </c>
      <c r="F417" t="s">
        <v>2321</v>
      </c>
      <c r="G417" s="2" t="s">
        <v>2322</v>
      </c>
      <c r="H417" t="s">
        <v>18</v>
      </c>
      <c r="I417" t="s">
        <v>221</v>
      </c>
      <c r="J417" t="s">
        <v>222</v>
      </c>
      <c r="K417" t="s">
        <v>930</v>
      </c>
      <c r="L417" t="s">
        <v>930</v>
      </c>
      <c r="M417" t="s">
        <v>223</v>
      </c>
      <c r="N417" t="s">
        <v>55</v>
      </c>
      <c r="O417" t="s">
        <v>33</v>
      </c>
      <c r="P417" t="s">
        <v>34</v>
      </c>
      <c r="Q417">
        <v>1</v>
      </c>
      <c r="R417">
        <v>0</v>
      </c>
      <c r="S417" s="2" t="str">
        <f>IFERROR(VLOOKUP(C417,Sheet2!B:E,4,0),C417)</f>
        <v>一般产品</v>
      </c>
    </row>
    <row r="418" spans="1:19" x14ac:dyDescent="0.2">
      <c r="A418" t="s">
        <v>2323</v>
      </c>
      <c r="B418">
        <v>2600</v>
      </c>
      <c r="C418" t="s">
        <v>26</v>
      </c>
      <c r="D418" t="s">
        <v>50</v>
      </c>
      <c r="E418" t="s">
        <v>2324</v>
      </c>
      <c r="F418" t="s">
        <v>2058</v>
      </c>
      <c r="G418" s="2" t="s">
        <v>2059</v>
      </c>
      <c r="H418" t="s">
        <v>18</v>
      </c>
      <c r="I418" t="s">
        <v>97</v>
      </c>
      <c r="J418" t="s">
        <v>98</v>
      </c>
      <c r="K418" t="s">
        <v>930</v>
      </c>
      <c r="L418" t="s">
        <v>930</v>
      </c>
      <c r="M418" t="s">
        <v>99</v>
      </c>
      <c r="N418" t="s">
        <v>55</v>
      </c>
      <c r="O418" t="s">
        <v>33</v>
      </c>
      <c r="P418" t="s">
        <v>34</v>
      </c>
      <c r="Q418">
        <v>1</v>
      </c>
      <c r="R418">
        <v>0</v>
      </c>
      <c r="S418" s="2" t="str">
        <f>IFERROR(VLOOKUP(C418,Sheet2!B:E,4,0),C418)</f>
        <v>一般产品</v>
      </c>
    </row>
    <row r="419" spans="1:19" x14ac:dyDescent="0.2">
      <c r="A419" t="s">
        <v>2325</v>
      </c>
      <c r="B419">
        <v>2599</v>
      </c>
      <c r="C419" t="s">
        <v>575</v>
      </c>
      <c r="D419" t="s">
        <v>50</v>
      </c>
      <c r="E419" t="s">
        <v>1091</v>
      </c>
      <c r="F419" t="s">
        <v>1656</v>
      </c>
      <c r="G419" s="2" t="s">
        <v>1657</v>
      </c>
      <c r="H419" t="s">
        <v>18</v>
      </c>
      <c r="I419" t="s">
        <v>111</v>
      </c>
      <c r="J419" t="s">
        <v>112</v>
      </c>
      <c r="K419" t="s">
        <v>930</v>
      </c>
      <c r="L419" t="s">
        <v>930</v>
      </c>
      <c r="M419" t="s">
        <v>113</v>
      </c>
      <c r="N419" t="s">
        <v>114</v>
      </c>
      <c r="O419" t="s">
        <v>24</v>
      </c>
      <c r="P419" t="s">
        <v>25</v>
      </c>
      <c r="Q419">
        <v>1</v>
      </c>
      <c r="R419">
        <v>0</v>
      </c>
      <c r="S419" s="2" t="str">
        <f>IFERROR(VLOOKUP(C419,Sheet2!B:E,4,0),C419)</f>
        <v>优惠产品</v>
      </c>
    </row>
    <row r="420" spans="1:19" x14ac:dyDescent="0.2">
      <c r="A420" t="s">
        <v>2326</v>
      </c>
      <c r="B420">
        <v>3980</v>
      </c>
      <c r="C420" t="s">
        <v>575</v>
      </c>
      <c r="D420" t="s">
        <v>971</v>
      </c>
      <c r="E420" t="s">
        <v>557</v>
      </c>
      <c r="F420" t="s">
        <v>2327</v>
      </c>
      <c r="G420" s="2" t="s">
        <v>2328</v>
      </c>
      <c r="H420" t="s">
        <v>28</v>
      </c>
      <c r="I420" t="s">
        <v>151</v>
      </c>
      <c r="J420" t="s">
        <v>152</v>
      </c>
      <c r="K420" t="s">
        <v>930</v>
      </c>
      <c r="L420" t="s">
        <v>930</v>
      </c>
      <c r="M420" t="s">
        <v>153</v>
      </c>
      <c r="N420" t="s">
        <v>61</v>
      </c>
      <c r="O420" t="s">
        <v>129</v>
      </c>
      <c r="P420" t="s">
        <v>25</v>
      </c>
      <c r="Q420">
        <v>1</v>
      </c>
      <c r="R420">
        <v>0</v>
      </c>
      <c r="S420" s="2" t="str">
        <f>IFERROR(VLOOKUP(C420,Sheet2!B:E,4,0),C420)</f>
        <v>优惠产品</v>
      </c>
    </row>
    <row r="421" spans="1:19" x14ac:dyDescent="0.2">
      <c r="A421" t="s">
        <v>2329</v>
      </c>
      <c r="B421">
        <v>2198</v>
      </c>
      <c r="C421" t="s">
        <v>26</v>
      </c>
      <c r="D421" t="s">
        <v>2257</v>
      </c>
      <c r="E421" t="s">
        <v>2330</v>
      </c>
      <c r="F421" t="s">
        <v>200</v>
      </c>
      <c r="G421" s="2" t="s">
        <v>201</v>
      </c>
      <c r="H421" t="s">
        <v>18</v>
      </c>
      <c r="I421" t="s">
        <v>69</v>
      </c>
      <c r="J421" t="s">
        <v>70</v>
      </c>
      <c r="K421" t="s">
        <v>930</v>
      </c>
      <c r="L421" t="s">
        <v>930</v>
      </c>
      <c r="M421" t="s">
        <v>71</v>
      </c>
      <c r="N421" t="s">
        <v>47</v>
      </c>
      <c r="O421" t="s">
        <v>33</v>
      </c>
      <c r="P421" t="s">
        <v>34</v>
      </c>
      <c r="Q421">
        <v>1</v>
      </c>
      <c r="R421">
        <v>0</v>
      </c>
      <c r="S421" s="2" t="str">
        <f>IFERROR(VLOOKUP(C421,Sheet2!B:E,4,0),C421)</f>
        <v>一般产品</v>
      </c>
    </row>
    <row r="422" spans="1:19" x14ac:dyDescent="0.2">
      <c r="A422" t="s">
        <v>2331</v>
      </c>
      <c r="B422">
        <v>2599</v>
      </c>
      <c r="C422" t="s">
        <v>26</v>
      </c>
      <c r="D422" t="s">
        <v>972</v>
      </c>
      <c r="E422" t="s">
        <v>2332</v>
      </c>
      <c r="F422" t="s">
        <v>435</v>
      </c>
      <c r="G422" s="2" t="s">
        <v>436</v>
      </c>
      <c r="H422" t="s">
        <v>18</v>
      </c>
      <c r="I422" t="s">
        <v>437</v>
      </c>
      <c r="J422" t="s">
        <v>438</v>
      </c>
      <c r="K422" t="s">
        <v>930</v>
      </c>
      <c r="L422" t="s">
        <v>930</v>
      </c>
      <c r="M422" t="s">
        <v>439</v>
      </c>
      <c r="N422" t="s">
        <v>194</v>
      </c>
      <c r="O422" t="s">
        <v>24</v>
      </c>
      <c r="P422" t="s">
        <v>25</v>
      </c>
      <c r="Q422">
        <v>1</v>
      </c>
      <c r="R422">
        <v>0</v>
      </c>
      <c r="S422" s="2" t="str">
        <f>IFERROR(VLOOKUP(C422,Sheet2!B:E,4,0),C422)</f>
        <v>一般产品</v>
      </c>
    </row>
    <row r="423" spans="1:19" x14ac:dyDescent="0.2">
      <c r="A423" t="s">
        <v>2333</v>
      </c>
      <c r="B423">
        <v>3800</v>
      </c>
      <c r="C423" t="s">
        <v>26</v>
      </c>
      <c r="D423" t="s">
        <v>50</v>
      </c>
      <c r="E423" t="s">
        <v>629</v>
      </c>
      <c r="F423" t="s">
        <v>630</v>
      </c>
      <c r="G423" s="2" t="s">
        <v>631</v>
      </c>
      <c r="H423" t="s">
        <v>28</v>
      </c>
      <c r="I423" t="s">
        <v>207</v>
      </c>
      <c r="J423" t="s">
        <v>208</v>
      </c>
      <c r="K423" t="s">
        <v>930</v>
      </c>
      <c r="L423" t="s">
        <v>930</v>
      </c>
      <c r="M423" t="s">
        <v>209</v>
      </c>
      <c r="N423" t="s">
        <v>32</v>
      </c>
      <c r="O423" t="s">
        <v>33</v>
      </c>
      <c r="P423" t="s">
        <v>34</v>
      </c>
      <c r="Q423">
        <v>1</v>
      </c>
      <c r="R423">
        <v>0</v>
      </c>
      <c r="S423" s="2" t="str">
        <f>IFERROR(VLOOKUP(C423,Sheet2!B:E,4,0),C423)</f>
        <v>一般产品</v>
      </c>
    </row>
    <row r="424" spans="1:19" x14ac:dyDescent="0.2">
      <c r="A424" t="s">
        <v>2334</v>
      </c>
      <c r="B424">
        <v>1298</v>
      </c>
      <c r="C424" t="s">
        <v>589</v>
      </c>
      <c r="D424" t="s">
        <v>2257</v>
      </c>
      <c r="E424" t="s">
        <v>1449</v>
      </c>
      <c r="F424" t="s">
        <v>788</v>
      </c>
      <c r="G424" s="2" t="s">
        <v>789</v>
      </c>
      <c r="H424" t="s">
        <v>28</v>
      </c>
      <c r="I424" t="s">
        <v>351</v>
      </c>
      <c r="J424" t="s">
        <v>352</v>
      </c>
      <c r="K424" t="s">
        <v>930</v>
      </c>
      <c r="L424" t="s">
        <v>930</v>
      </c>
      <c r="M424" t="s">
        <v>353</v>
      </c>
      <c r="N424" t="s">
        <v>146</v>
      </c>
      <c r="O424" t="s">
        <v>33</v>
      </c>
      <c r="P424" t="s">
        <v>34</v>
      </c>
      <c r="Q424">
        <v>1</v>
      </c>
      <c r="R424">
        <v>0</v>
      </c>
      <c r="S424" s="2" t="str">
        <f>IFERROR(VLOOKUP(C424,Sheet2!B:E,4,0),C424)</f>
        <v>优惠产品</v>
      </c>
    </row>
    <row r="425" spans="1:19" x14ac:dyDescent="0.2">
      <c r="A425" t="s">
        <v>2335</v>
      </c>
      <c r="B425">
        <v>1000</v>
      </c>
      <c r="C425" t="s">
        <v>26</v>
      </c>
      <c r="D425" t="s">
        <v>50</v>
      </c>
      <c r="E425" t="s">
        <v>1197</v>
      </c>
      <c r="F425" t="s">
        <v>626</v>
      </c>
      <c r="G425" s="2" t="s">
        <v>627</v>
      </c>
      <c r="H425" t="s">
        <v>18</v>
      </c>
      <c r="I425" t="s">
        <v>107</v>
      </c>
      <c r="J425" t="s">
        <v>1046</v>
      </c>
      <c r="K425" t="s">
        <v>930</v>
      </c>
      <c r="L425" t="s">
        <v>930</v>
      </c>
      <c r="M425" t="s">
        <v>1047</v>
      </c>
      <c r="N425" t="s">
        <v>108</v>
      </c>
      <c r="O425" t="s">
        <v>33</v>
      </c>
      <c r="P425" t="s">
        <v>34</v>
      </c>
      <c r="Q425">
        <v>1</v>
      </c>
      <c r="R425">
        <v>0</v>
      </c>
      <c r="S425" s="2" t="str">
        <f>IFERROR(VLOOKUP(C425,Sheet2!B:E,4,0),C425)</f>
        <v>一般产品</v>
      </c>
    </row>
    <row r="426" spans="1:19" x14ac:dyDescent="0.2">
      <c r="A426" t="s">
        <v>2336</v>
      </c>
      <c r="B426">
        <v>2000</v>
      </c>
      <c r="C426" t="s">
        <v>26</v>
      </c>
      <c r="D426" t="s">
        <v>50</v>
      </c>
      <c r="E426" t="s">
        <v>1030</v>
      </c>
      <c r="F426" t="s">
        <v>2337</v>
      </c>
      <c r="G426" s="2" t="s">
        <v>2338</v>
      </c>
      <c r="H426" t="s">
        <v>28</v>
      </c>
      <c r="I426" t="s">
        <v>198</v>
      </c>
      <c r="J426" t="s">
        <v>199</v>
      </c>
      <c r="K426" t="s">
        <v>930</v>
      </c>
      <c r="L426" t="s">
        <v>930</v>
      </c>
      <c r="M426" t="s">
        <v>1048</v>
      </c>
      <c r="N426" t="s">
        <v>108</v>
      </c>
      <c r="O426" t="s">
        <v>33</v>
      </c>
      <c r="P426" t="s">
        <v>34</v>
      </c>
      <c r="Q426">
        <v>1</v>
      </c>
      <c r="R426">
        <v>0</v>
      </c>
      <c r="S426" s="2" t="str">
        <f>IFERROR(VLOOKUP(C426,Sheet2!B:E,4,0),C426)</f>
        <v>一般产品</v>
      </c>
    </row>
    <row r="427" spans="1:19" x14ac:dyDescent="0.2">
      <c r="A427" t="s">
        <v>2339</v>
      </c>
      <c r="B427">
        <v>3298</v>
      </c>
      <c r="C427" t="s">
        <v>26</v>
      </c>
      <c r="D427" t="s">
        <v>971</v>
      </c>
      <c r="E427" t="s">
        <v>2340</v>
      </c>
      <c r="F427" t="s">
        <v>1118</v>
      </c>
      <c r="G427" s="2" t="s">
        <v>1119</v>
      </c>
      <c r="H427" t="s">
        <v>28</v>
      </c>
      <c r="I427" t="s">
        <v>147</v>
      </c>
      <c r="J427" t="s">
        <v>148</v>
      </c>
      <c r="K427" t="s">
        <v>930</v>
      </c>
      <c r="L427" t="s">
        <v>930</v>
      </c>
      <c r="M427" t="s">
        <v>149</v>
      </c>
      <c r="N427" t="s">
        <v>73</v>
      </c>
      <c r="O427" t="s">
        <v>24</v>
      </c>
      <c r="P427" t="s">
        <v>25</v>
      </c>
      <c r="Q427">
        <v>1</v>
      </c>
      <c r="R427">
        <v>0</v>
      </c>
      <c r="S427" s="2" t="str">
        <f>IFERROR(VLOOKUP(C427,Sheet2!B:E,4,0),C427)</f>
        <v>一般产品</v>
      </c>
    </row>
    <row r="428" spans="1:19" x14ac:dyDescent="0.2">
      <c r="A428" t="s">
        <v>2341</v>
      </c>
      <c r="B428">
        <v>2000</v>
      </c>
      <c r="C428" t="s">
        <v>26</v>
      </c>
      <c r="D428" t="s">
        <v>50</v>
      </c>
      <c r="E428" t="s">
        <v>2342</v>
      </c>
      <c r="F428" t="s">
        <v>322</v>
      </c>
      <c r="G428" s="2" t="s">
        <v>323</v>
      </c>
      <c r="H428" t="s">
        <v>18</v>
      </c>
      <c r="I428" t="s">
        <v>164</v>
      </c>
      <c r="J428" t="s">
        <v>165</v>
      </c>
      <c r="K428" t="s">
        <v>930</v>
      </c>
      <c r="L428" t="s">
        <v>930</v>
      </c>
      <c r="M428" t="s">
        <v>166</v>
      </c>
      <c r="N428" t="s">
        <v>55</v>
      </c>
      <c r="O428" t="s">
        <v>33</v>
      </c>
      <c r="P428" t="s">
        <v>34</v>
      </c>
      <c r="Q428">
        <v>1</v>
      </c>
      <c r="R428">
        <v>0</v>
      </c>
      <c r="S428" s="2" t="str">
        <f>IFERROR(VLOOKUP(C428,Sheet2!B:E,4,0),C428)</f>
        <v>一般产品</v>
      </c>
    </row>
    <row r="429" spans="1:19" x14ac:dyDescent="0.2">
      <c r="A429" t="s">
        <v>2343</v>
      </c>
      <c r="B429">
        <v>2499</v>
      </c>
      <c r="C429" t="s">
        <v>575</v>
      </c>
      <c r="D429" t="s">
        <v>50</v>
      </c>
      <c r="E429" t="s">
        <v>2344</v>
      </c>
      <c r="F429" t="s">
        <v>2345</v>
      </c>
      <c r="G429" s="2" t="s">
        <v>2346</v>
      </c>
      <c r="H429" t="s">
        <v>18</v>
      </c>
      <c r="I429" t="s">
        <v>450</v>
      </c>
      <c r="J429" t="s">
        <v>451</v>
      </c>
      <c r="K429" t="s">
        <v>930</v>
      </c>
      <c r="L429" t="s">
        <v>930</v>
      </c>
      <c r="M429" t="s">
        <v>939</v>
      </c>
      <c r="N429" t="s">
        <v>124</v>
      </c>
      <c r="O429" t="s">
        <v>117</v>
      </c>
      <c r="P429" t="s">
        <v>34</v>
      </c>
      <c r="Q429">
        <v>1</v>
      </c>
      <c r="R429">
        <v>0</v>
      </c>
      <c r="S429" s="2" t="str">
        <f>IFERROR(VLOOKUP(C429,Sheet2!B:E,4,0),C429)</f>
        <v>优惠产品</v>
      </c>
    </row>
    <row r="430" spans="1:19" x14ac:dyDescent="0.2">
      <c r="A430" t="s">
        <v>2347</v>
      </c>
      <c r="B430">
        <v>3499</v>
      </c>
      <c r="C430" t="s">
        <v>26</v>
      </c>
      <c r="D430" t="s">
        <v>2257</v>
      </c>
      <c r="E430" t="s">
        <v>2348</v>
      </c>
      <c r="F430" t="s">
        <v>2349</v>
      </c>
      <c r="G430" s="2" t="s">
        <v>2350</v>
      </c>
      <c r="H430" t="s">
        <v>18</v>
      </c>
      <c r="I430" t="s">
        <v>340</v>
      </c>
      <c r="J430" t="s">
        <v>341</v>
      </c>
      <c r="K430" t="s">
        <v>930</v>
      </c>
      <c r="L430" t="s">
        <v>930</v>
      </c>
      <c r="M430" t="s">
        <v>342</v>
      </c>
      <c r="N430" t="s">
        <v>44</v>
      </c>
      <c r="O430" t="s">
        <v>24</v>
      </c>
      <c r="P430" t="s">
        <v>25</v>
      </c>
      <c r="Q430">
        <v>1</v>
      </c>
      <c r="R430">
        <v>0</v>
      </c>
      <c r="S430" s="2" t="str">
        <f>IFERROR(VLOOKUP(C430,Sheet2!B:E,4,0),C430)</f>
        <v>一般产品</v>
      </c>
    </row>
    <row r="431" spans="1:19" x14ac:dyDescent="0.2">
      <c r="A431" t="s">
        <v>2351</v>
      </c>
      <c r="B431">
        <v>2600</v>
      </c>
      <c r="C431" t="s">
        <v>26</v>
      </c>
      <c r="D431" t="s">
        <v>50</v>
      </c>
      <c r="E431" t="s">
        <v>2352</v>
      </c>
      <c r="F431" t="s">
        <v>2353</v>
      </c>
      <c r="G431" s="2" t="s">
        <v>2354</v>
      </c>
      <c r="H431" t="s">
        <v>18</v>
      </c>
      <c r="I431" t="s">
        <v>56</v>
      </c>
      <c r="J431" t="s">
        <v>57</v>
      </c>
      <c r="K431" t="s">
        <v>930</v>
      </c>
      <c r="L431" t="s">
        <v>930</v>
      </c>
      <c r="M431" t="s">
        <v>58</v>
      </c>
      <c r="N431" t="s">
        <v>108</v>
      </c>
      <c r="O431" t="s">
        <v>33</v>
      </c>
      <c r="P431" t="s">
        <v>34</v>
      </c>
      <c r="Q431">
        <v>1</v>
      </c>
      <c r="R431">
        <v>0</v>
      </c>
      <c r="S431" s="2" t="str">
        <f>IFERROR(VLOOKUP(C431,Sheet2!B:E,4,0),C431)</f>
        <v>一般产品</v>
      </c>
    </row>
    <row r="432" spans="1:19" x14ac:dyDescent="0.2">
      <c r="A432" t="s">
        <v>2355</v>
      </c>
      <c r="B432">
        <v>2898</v>
      </c>
      <c r="C432" t="s">
        <v>575</v>
      </c>
      <c r="D432" t="s">
        <v>971</v>
      </c>
      <c r="E432" t="s">
        <v>1210</v>
      </c>
      <c r="F432" t="s">
        <v>1056</v>
      </c>
      <c r="G432" s="2" t="s">
        <v>1057</v>
      </c>
      <c r="H432" t="s">
        <v>18</v>
      </c>
      <c r="I432" t="s">
        <v>266</v>
      </c>
      <c r="J432" t="s">
        <v>267</v>
      </c>
      <c r="K432" t="s">
        <v>930</v>
      </c>
      <c r="L432" t="s">
        <v>930</v>
      </c>
      <c r="M432" t="s">
        <v>268</v>
      </c>
      <c r="N432" t="s">
        <v>185</v>
      </c>
      <c r="O432" t="s">
        <v>39</v>
      </c>
      <c r="P432" t="s">
        <v>25</v>
      </c>
      <c r="Q432">
        <v>1</v>
      </c>
      <c r="R432">
        <v>0</v>
      </c>
      <c r="S432" s="2" t="str">
        <f>IFERROR(VLOOKUP(C432,Sheet2!B:E,4,0),C432)</f>
        <v>优惠产品</v>
      </c>
    </row>
    <row r="433" spans="1:19" x14ac:dyDescent="0.2">
      <c r="A433" t="s">
        <v>2356</v>
      </c>
      <c r="B433">
        <v>1800</v>
      </c>
      <c r="C433" t="s">
        <v>26</v>
      </c>
      <c r="D433" t="s">
        <v>2257</v>
      </c>
      <c r="E433" t="s">
        <v>2357</v>
      </c>
      <c r="F433" t="s">
        <v>1643</v>
      </c>
      <c r="G433" s="2" t="s">
        <v>1644</v>
      </c>
      <c r="H433" t="s">
        <v>18</v>
      </c>
      <c r="I433" t="s">
        <v>65</v>
      </c>
      <c r="J433" t="s">
        <v>66</v>
      </c>
      <c r="K433" t="s">
        <v>930</v>
      </c>
      <c r="L433" t="s">
        <v>930</v>
      </c>
      <c r="M433" t="s">
        <v>67</v>
      </c>
      <c r="N433" t="s">
        <v>68</v>
      </c>
      <c r="O433" t="s">
        <v>33</v>
      </c>
      <c r="P433" t="s">
        <v>34</v>
      </c>
      <c r="Q433">
        <v>1</v>
      </c>
      <c r="R433">
        <v>0</v>
      </c>
      <c r="S433" s="2" t="str">
        <f>IFERROR(VLOOKUP(C433,Sheet2!B:E,4,0),C433)</f>
        <v>一般产品</v>
      </c>
    </row>
    <row r="434" spans="1:19" x14ac:dyDescent="0.2">
      <c r="A434" t="s">
        <v>2358</v>
      </c>
      <c r="B434">
        <v>2680</v>
      </c>
      <c r="C434" t="s">
        <v>575</v>
      </c>
      <c r="D434" t="s">
        <v>2257</v>
      </c>
      <c r="E434" t="s">
        <v>2359</v>
      </c>
      <c r="F434" t="s">
        <v>329</v>
      </c>
      <c r="G434" s="2" t="s">
        <v>330</v>
      </c>
      <c r="H434" t="s">
        <v>18</v>
      </c>
      <c r="I434" t="s">
        <v>139</v>
      </c>
      <c r="J434" t="s">
        <v>140</v>
      </c>
      <c r="K434" t="s">
        <v>930</v>
      </c>
      <c r="L434" t="s">
        <v>930</v>
      </c>
      <c r="M434" t="s">
        <v>141</v>
      </c>
      <c r="N434" t="s">
        <v>136</v>
      </c>
      <c r="O434" t="s">
        <v>95</v>
      </c>
      <c r="P434" t="s">
        <v>90</v>
      </c>
      <c r="Q434">
        <v>1</v>
      </c>
      <c r="R434">
        <v>0</v>
      </c>
      <c r="S434" s="2" t="str">
        <f>IFERROR(VLOOKUP(C434,Sheet2!B:E,4,0),C434)</f>
        <v>优惠产品</v>
      </c>
    </row>
    <row r="435" spans="1:19" x14ac:dyDescent="0.2">
      <c r="A435" t="s">
        <v>2360</v>
      </c>
      <c r="B435">
        <v>1100</v>
      </c>
      <c r="C435" t="s">
        <v>26</v>
      </c>
      <c r="D435" t="s">
        <v>50</v>
      </c>
      <c r="E435" t="s">
        <v>2361</v>
      </c>
      <c r="F435" t="s">
        <v>2024</v>
      </c>
      <c r="G435" s="2" t="s">
        <v>2025</v>
      </c>
      <c r="H435" t="s">
        <v>18</v>
      </c>
      <c r="I435" t="s">
        <v>930</v>
      </c>
      <c r="J435" t="s">
        <v>930</v>
      </c>
      <c r="K435" t="s">
        <v>106</v>
      </c>
      <c r="L435" t="s">
        <v>930</v>
      </c>
      <c r="M435" t="s">
        <v>1456</v>
      </c>
      <c r="N435" t="s">
        <v>108</v>
      </c>
      <c r="O435" t="s">
        <v>33</v>
      </c>
      <c r="P435" t="s">
        <v>34</v>
      </c>
      <c r="Q435">
        <v>1</v>
      </c>
      <c r="R435">
        <v>0</v>
      </c>
      <c r="S435" s="2" t="str">
        <f>IFERROR(VLOOKUP(C435,Sheet2!B:E,4,0),C435)</f>
        <v>一般产品</v>
      </c>
    </row>
    <row r="436" spans="1:19" x14ac:dyDescent="0.2">
      <c r="A436" t="s">
        <v>2362</v>
      </c>
      <c r="B436">
        <v>5000</v>
      </c>
      <c r="C436" t="s">
        <v>589</v>
      </c>
      <c r="D436" t="s">
        <v>970</v>
      </c>
      <c r="E436" t="s">
        <v>2363</v>
      </c>
      <c r="F436" t="s">
        <v>465</v>
      </c>
      <c r="G436" s="2" t="s">
        <v>466</v>
      </c>
      <c r="H436" t="s">
        <v>18</v>
      </c>
      <c r="I436" t="s">
        <v>156</v>
      </c>
      <c r="J436" t="s">
        <v>157</v>
      </c>
      <c r="K436" t="s">
        <v>930</v>
      </c>
      <c r="L436" t="s">
        <v>930</v>
      </c>
      <c r="M436" t="s">
        <v>158</v>
      </c>
      <c r="N436" t="s">
        <v>146</v>
      </c>
      <c r="O436" t="s">
        <v>33</v>
      </c>
      <c r="P436" t="s">
        <v>34</v>
      </c>
      <c r="Q436">
        <v>1</v>
      </c>
      <c r="R436">
        <v>0</v>
      </c>
      <c r="S436" s="2" t="str">
        <f>IFERROR(VLOOKUP(C436,Sheet2!B:E,4,0),C436)</f>
        <v>优惠产品</v>
      </c>
    </row>
    <row r="437" spans="1:19" x14ac:dyDescent="0.2">
      <c r="A437" t="s">
        <v>2364</v>
      </c>
      <c r="B437">
        <v>1300</v>
      </c>
      <c r="C437" t="s">
        <v>26</v>
      </c>
      <c r="D437" t="s">
        <v>970</v>
      </c>
      <c r="E437" t="s">
        <v>27</v>
      </c>
      <c r="F437" t="s">
        <v>714</v>
      </c>
      <c r="G437" s="2" t="s">
        <v>715</v>
      </c>
      <c r="H437" t="s">
        <v>18</v>
      </c>
      <c r="I437" t="s">
        <v>29</v>
      </c>
      <c r="J437" t="s">
        <v>30</v>
      </c>
      <c r="K437" t="s">
        <v>930</v>
      </c>
      <c r="L437" t="s">
        <v>930</v>
      </c>
      <c r="M437" t="s">
        <v>31</v>
      </c>
      <c r="N437" t="s">
        <v>32</v>
      </c>
      <c r="O437" t="s">
        <v>33</v>
      </c>
      <c r="P437" t="s">
        <v>34</v>
      </c>
      <c r="Q437">
        <v>1</v>
      </c>
      <c r="R437">
        <v>0</v>
      </c>
      <c r="S437" s="2" t="str">
        <f>IFERROR(VLOOKUP(C437,Sheet2!B:E,4,0),C437)</f>
        <v>一般产品</v>
      </c>
    </row>
    <row r="438" spans="1:19" x14ac:dyDescent="0.2">
      <c r="A438" t="s">
        <v>2365</v>
      </c>
      <c r="B438">
        <v>3500</v>
      </c>
      <c r="C438" t="s">
        <v>26</v>
      </c>
      <c r="D438" t="s">
        <v>970</v>
      </c>
      <c r="E438" t="s">
        <v>843</v>
      </c>
      <c r="F438" t="s">
        <v>676</v>
      </c>
      <c r="G438" s="2" t="s">
        <v>677</v>
      </c>
      <c r="H438" t="s">
        <v>18</v>
      </c>
      <c r="I438" t="s">
        <v>121</v>
      </c>
      <c r="J438" t="s">
        <v>122</v>
      </c>
      <c r="K438" t="s">
        <v>930</v>
      </c>
      <c r="L438" t="s">
        <v>930</v>
      </c>
      <c r="M438" t="s">
        <v>123</v>
      </c>
      <c r="N438" t="s">
        <v>55</v>
      </c>
      <c r="O438" t="s">
        <v>33</v>
      </c>
      <c r="P438" t="s">
        <v>34</v>
      </c>
      <c r="Q438">
        <v>1</v>
      </c>
      <c r="R438">
        <v>0</v>
      </c>
      <c r="S438" s="2" t="str">
        <f>IFERROR(VLOOKUP(C438,Sheet2!B:E,4,0),C438)</f>
        <v>一般产品</v>
      </c>
    </row>
    <row r="439" spans="1:19" x14ac:dyDescent="0.2">
      <c r="A439" t="s">
        <v>2366</v>
      </c>
      <c r="B439">
        <v>2999</v>
      </c>
      <c r="C439" t="s">
        <v>589</v>
      </c>
      <c r="D439" t="s">
        <v>972</v>
      </c>
      <c r="E439" t="s">
        <v>1709</v>
      </c>
      <c r="F439" t="s">
        <v>202</v>
      </c>
      <c r="G439" s="2" t="s">
        <v>203</v>
      </c>
      <c r="H439" t="s">
        <v>18</v>
      </c>
      <c r="I439" t="s">
        <v>204</v>
      </c>
      <c r="J439" t="s">
        <v>205</v>
      </c>
      <c r="K439" t="s">
        <v>930</v>
      </c>
      <c r="L439" t="s">
        <v>930</v>
      </c>
      <c r="M439" t="s">
        <v>206</v>
      </c>
      <c r="N439" t="s">
        <v>44</v>
      </c>
      <c r="O439" t="s">
        <v>24</v>
      </c>
      <c r="P439" t="s">
        <v>25</v>
      </c>
      <c r="Q439">
        <v>1</v>
      </c>
      <c r="R439">
        <v>0</v>
      </c>
      <c r="S439" s="2" t="str">
        <f>IFERROR(VLOOKUP(C439,Sheet2!B:E,4,0),C439)</f>
        <v>优惠产品</v>
      </c>
    </row>
    <row r="440" spans="1:19" x14ac:dyDescent="0.2">
      <c r="A440" t="s">
        <v>2367</v>
      </c>
      <c r="B440">
        <v>3000</v>
      </c>
      <c r="C440" t="s">
        <v>26</v>
      </c>
      <c r="D440" t="s">
        <v>2257</v>
      </c>
      <c r="E440" t="s">
        <v>1913</v>
      </c>
      <c r="F440" t="s">
        <v>1227</v>
      </c>
      <c r="G440" s="2" t="s">
        <v>1228</v>
      </c>
      <c r="H440" t="s">
        <v>18</v>
      </c>
      <c r="I440" t="s">
        <v>421</v>
      </c>
      <c r="J440" t="s">
        <v>422</v>
      </c>
      <c r="K440" t="s">
        <v>930</v>
      </c>
      <c r="L440" t="s">
        <v>930</v>
      </c>
      <c r="M440" t="s">
        <v>423</v>
      </c>
      <c r="N440" t="s">
        <v>68</v>
      </c>
      <c r="O440" t="s">
        <v>33</v>
      </c>
      <c r="P440" t="s">
        <v>34</v>
      </c>
      <c r="Q440">
        <v>1</v>
      </c>
      <c r="R440">
        <v>0</v>
      </c>
      <c r="S440" s="2" t="str">
        <f>IFERROR(VLOOKUP(C440,Sheet2!B:E,4,0),C440)</f>
        <v>一般产品</v>
      </c>
    </row>
    <row r="441" spans="1:19" x14ac:dyDescent="0.2">
      <c r="A441" t="s">
        <v>2368</v>
      </c>
      <c r="B441">
        <v>4000</v>
      </c>
      <c r="C441" t="s">
        <v>26</v>
      </c>
      <c r="D441" t="s">
        <v>2257</v>
      </c>
      <c r="E441" t="s">
        <v>1111</v>
      </c>
      <c r="F441" t="s">
        <v>2369</v>
      </c>
      <c r="G441" s="2" t="s">
        <v>2370</v>
      </c>
      <c r="H441" t="s">
        <v>18</v>
      </c>
      <c r="I441" t="s">
        <v>930</v>
      </c>
      <c r="J441" t="s">
        <v>930</v>
      </c>
      <c r="K441" t="s">
        <v>230</v>
      </c>
      <c r="L441" t="s">
        <v>930</v>
      </c>
      <c r="M441" t="s">
        <v>231</v>
      </c>
      <c r="N441" t="s">
        <v>47</v>
      </c>
      <c r="O441" t="s">
        <v>33</v>
      </c>
      <c r="P441" t="s">
        <v>34</v>
      </c>
      <c r="Q441">
        <v>1</v>
      </c>
      <c r="R441">
        <v>0</v>
      </c>
      <c r="S441" s="2" t="str">
        <f>IFERROR(VLOOKUP(C441,Sheet2!B:E,4,0),C441)</f>
        <v>一般产品</v>
      </c>
    </row>
    <row r="442" spans="1:19" x14ac:dyDescent="0.2">
      <c r="A442" t="s">
        <v>2371</v>
      </c>
      <c r="B442">
        <v>3800</v>
      </c>
      <c r="C442" t="s">
        <v>26</v>
      </c>
      <c r="D442" t="s">
        <v>971</v>
      </c>
      <c r="E442" t="s">
        <v>760</v>
      </c>
      <c r="F442" t="s">
        <v>1438</v>
      </c>
      <c r="G442" s="2" t="s">
        <v>1439</v>
      </c>
      <c r="H442" t="s">
        <v>18</v>
      </c>
      <c r="I442" t="s">
        <v>260</v>
      </c>
      <c r="J442" t="s">
        <v>261</v>
      </c>
      <c r="K442" t="s">
        <v>930</v>
      </c>
      <c r="L442" t="s">
        <v>930</v>
      </c>
      <c r="M442" t="s">
        <v>262</v>
      </c>
      <c r="N442" t="s">
        <v>45</v>
      </c>
      <c r="O442" t="s">
        <v>48</v>
      </c>
      <c r="P442" t="s">
        <v>49</v>
      </c>
      <c r="Q442">
        <v>1</v>
      </c>
      <c r="R442">
        <v>0</v>
      </c>
      <c r="S442" s="2" t="str">
        <f>IFERROR(VLOOKUP(C442,Sheet2!B:E,4,0),C442)</f>
        <v>一般产品</v>
      </c>
    </row>
    <row r="443" spans="1:19" x14ac:dyDescent="0.2">
      <c r="A443" t="s">
        <v>2372</v>
      </c>
      <c r="B443">
        <v>3000</v>
      </c>
      <c r="C443" t="s">
        <v>589</v>
      </c>
      <c r="D443" t="s">
        <v>50</v>
      </c>
      <c r="E443" t="s">
        <v>2159</v>
      </c>
      <c r="F443" t="s">
        <v>2160</v>
      </c>
      <c r="G443" s="2" t="s">
        <v>2161</v>
      </c>
      <c r="H443" t="s">
        <v>18</v>
      </c>
      <c r="I443" t="s">
        <v>156</v>
      </c>
      <c r="J443" t="s">
        <v>157</v>
      </c>
      <c r="K443" t="s">
        <v>930</v>
      </c>
      <c r="L443" t="s">
        <v>930</v>
      </c>
      <c r="M443" t="s">
        <v>158</v>
      </c>
      <c r="N443" t="s">
        <v>146</v>
      </c>
      <c r="O443" t="s">
        <v>33</v>
      </c>
      <c r="P443" t="s">
        <v>34</v>
      </c>
      <c r="Q443">
        <v>1</v>
      </c>
      <c r="R443">
        <v>0</v>
      </c>
      <c r="S443" s="2" t="str">
        <f>IFERROR(VLOOKUP(C443,Sheet2!B:E,4,0),C443)</f>
        <v>优惠产品</v>
      </c>
    </row>
    <row r="444" spans="1:19" x14ac:dyDescent="0.2">
      <c r="A444" t="s">
        <v>2373</v>
      </c>
      <c r="B444">
        <v>1899</v>
      </c>
      <c r="C444" t="s">
        <v>589</v>
      </c>
      <c r="D444" t="s">
        <v>2257</v>
      </c>
      <c r="E444" t="s">
        <v>2374</v>
      </c>
      <c r="F444" t="s">
        <v>739</v>
      </c>
      <c r="G444" s="2" t="s">
        <v>740</v>
      </c>
      <c r="H444" t="s">
        <v>18</v>
      </c>
      <c r="I444" t="s">
        <v>301</v>
      </c>
      <c r="J444" t="s">
        <v>302</v>
      </c>
      <c r="K444" t="s">
        <v>930</v>
      </c>
      <c r="L444" t="s">
        <v>930</v>
      </c>
      <c r="M444" t="s">
        <v>303</v>
      </c>
      <c r="N444" t="s">
        <v>194</v>
      </c>
      <c r="O444" t="s">
        <v>24</v>
      </c>
      <c r="P444" t="s">
        <v>25</v>
      </c>
      <c r="Q444">
        <v>1</v>
      </c>
      <c r="R444">
        <v>0</v>
      </c>
      <c r="S444" s="2" t="str">
        <f>IFERROR(VLOOKUP(C444,Sheet2!B:E,4,0),C444)</f>
        <v>优惠产品</v>
      </c>
    </row>
    <row r="445" spans="1:19" x14ac:dyDescent="0.2">
      <c r="A445" t="s">
        <v>2375</v>
      </c>
      <c r="B445">
        <v>1798</v>
      </c>
      <c r="C445" t="s">
        <v>589</v>
      </c>
      <c r="D445" t="s">
        <v>972</v>
      </c>
      <c r="E445" t="s">
        <v>1356</v>
      </c>
      <c r="F445" t="s">
        <v>2376</v>
      </c>
      <c r="G445" s="2" t="s">
        <v>2377</v>
      </c>
      <c r="H445" t="s">
        <v>18</v>
      </c>
      <c r="I445" t="s">
        <v>237</v>
      </c>
      <c r="J445" t="s">
        <v>238</v>
      </c>
      <c r="K445" t="s">
        <v>930</v>
      </c>
      <c r="L445" t="s">
        <v>930</v>
      </c>
      <c r="M445" t="s">
        <v>239</v>
      </c>
      <c r="N445" t="s">
        <v>85</v>
      </c>
      <c r="O445" t="s">
        <v>33</v>
      </c>
      <c r="P445" t="s">
        <v>34</v>
      </c>
      <c r="Q445">
        <v>1</v>
      </c>
      <c r="R445">
        <v>0</v>
      </c>
      <c r="S445" s="2" t="str">
        <f>IFERROR(VLOOKUP(C445,Sheet2!B:E,4,0),C445)</f>
        <v>优惠产品</v>
      </c>
    </row>
    <row r="446" spans="1:19" x14ac:dyDescent="0.2">
      <c r="A446" t="s">
        <v>2378</v>
      </c>
      <c r="B446">
        <v>3199</v>
      </c>
      <c r="C446" t="s">
        <v>26</v>
      </c>
      <c r="D446" t="s">
        <v>971</v>
      </c>
      <c r="E446" t="s">
        <v>2379</v>
      </c>
      <c r="F446" t="s">
        <v>961</v>
      </c>
      <c r="G446" s="2" t="s">
        <v>962</v>
      </c>
      <c r="H446" t="s">
        <v>18</v>
      </c>
      <c r="I446" t="s">
        <v>147</v>
      </c>
      <c r="J446" t="s">
        <v>148</v>
      </c>
      <c r="K446" t="s">
        <v>930</v>
      </c>
      <c r="L446" t="s">
        <v>930</v>
      </c>
      <c r="M446" t="s">
        <v>149</v>
      </c>
      <c r="N446" t="s">
        <v>73</v>
      </c>
      <c r="O446" t="s">
        <v>24</v>
      </c>
      <c r="P446" t="s">
        <v>25</v>
      </c>
      <c r="Q446">
        <v>1</v>
      </c>
      <c r="R446">
        <v>0</v>
      </c>
      <c r="S446" s="2" t="str">
        <f>IFERROR(VLOOKUP(C446,Sheet2!B:E,4,0),C446)</f>
        <v>一般产品</v>
      </c>
    </row>
    <row r="447" spans="1:19" x14ac:dyDescent="0.2">
      <c r="A447" t="s">
        <v>2380</v>
      </c>
      <c r="B447">
        <v>3599</v>
      </c>
      <c r="C447" t="s">
        <v>26</v>
      </c>
      <c r="D447" t="s">
        <v>2257</v>
      </c>
      <c r="E447" t="s">
        <v>2381</v>
      </c>
      <c r="F447" t="s">
        <v>1225</v>
      </c>
      <c r="G447" s="2" t="s">
        <v>2382</v>
      </c>
      <c r="H447" t="s">
        <v>18</v>
      </c>
      <c r="I447" t="s">
        <v>930</v>
      </c>
      <c r="J447" t="s">
        <v>930</v>
      </c>
      <c r="K447" t="s">
        <v>1225</v>
      </c>
      <c r="L447" t="s">
        <v>930</v>
      </c>
      <c r="M447" t="s">
        <v>1226</v>
      </c>
      <c r="N447" t="s">
        <v>44</v>
      </c>
      <c r="O447" t="s">
        <v>24</v>
      </c>
      <c r="P447" t="s">
        <v>25</v>
      </c>
      <c r="Q447">
        <v>1</v>
      </c>
      <c r="R447">
        <v>0</v>
      </c>
      <c r="S447" s="2" t="str">
        <f>IFERROR(VLOOKUP(C447,Sheet2!B:E,4,0),C447)</f>
        <v>一般产品</v>
      </c>
    </row>
    <row r="448" spans="1:19" x14ac:dyDescent="0.2">
      <c r="A448" t="s">
        <v>2383</v>
      </c>
      <c r="B448">
        <v>4000</v>
      </c>
      <c r="C448" t="s">
        <v>589</v>
      </c>
      <c r="D448" t="s">
        <v>971</v>
      </c>
      <c r="E448" t="s">
        <v>2384</v>
      </c>
      <c r="F448" t="s">
        <v>1006</v>
      </c>
      <c r="G448" s="2" t="s">
        <v>1007</v>
      </c>
      <c r="H448" t="s">
        <v>18</v>
      </c>
      <c r="I448" t="s">
        <v>930</v>
      </c>
      <c r="J448" t="s">
        <v>930</v>
      </c>
      <c r="K448" t="s">
        <v>1225</v>
      </c>
      <c r="L448" t="s">
        <v>930</v>
      </c>
      <c r="M448" t="s">
        <v>1226</v>
      </c>
      <c r="N448" t="s">
        <v>44</v>
      </c>
      <c r="O448" t="s">
        <v>24</v>
      </c>
      <c r="P448" t="s">
        <v>25</v>
      </c>
      <c r="Q448">
        <v>1</v>
      </c>
      <c r="R448">
        <v>0</v>
      </c>
      <c r="S448" s="2" t="str">
        <f>IFERROR(VLOOKUP(C448,Sheet2!B:E,4,0),C448)</f>
        <v>优惠产品</v>
      </c>
    </row>
    <row r="449" spans="1:19" x14ac:dyDescent="0.2">
      <c r="A449" t="s">
        <v>2385</v>
      </c>
      <c r="B449">
        <v>1200</v>
      </c>
      <c r="C449" t="s">
        <v>26</v>
      </c>
      <c r="D449" t="s">
        <v>50</v>
      </c>
      <c r="E449" t="s">
        <v>1790</v>
      </c>
      <c r="F449" t="s">
        <v>1068</v>
      </c>
      <c r="G449" s="2" t="s">
        <v>1069</v>
      </c>
      <c r="H449" t="s">
        <v>18</v>
      </c>
      <c r="I449" t="s">
        <v>121</v>
      </c>
      <c r="J449" t="s">
        <v>122</v>
      </c>
      <c r="K449" t="s">
        <v>930</v>
      </c>
      <c r="L449" t="s">
        <v>930</v>
      </c>
      <c r="M449" t="s">
        <v>123</v>
      </c>
      <c r="N449" t="s">
        <v>55</v>
      </c>
      <c r="O449" t="s">
        <v>33</v>
      </c>
      <c r="P449" t="s">
        <v>34</v>
      </c>
      <c r="Q449">
        <v>1</v>
      </c>
      <c r="R449">
        <v>0</v>
      </c>
      <c r="S449" s="2" t="str">
        <f>IFERROR(VLOOKUP(C449,Sheet2!B:E,4,0),C449)</f>
        <v>一般产品</v>
      </c>
    </row>
    <row r="450" spans="1:19" x14ac:dyDescent="0.2">
      <c r="A450" t="s">
        <v>2386</v>
      </c>
      <c r="B450">
        <v>2800</v>
      </c>
      <c r="C450" t="s">
        <v>26</v>
      </c>
      <c r="D450" t="s">
        <v>50</v>
      </c>
      <c r="E450" t="s">
        <v>1790</v>
      </c>
      <c r="F450" t="s">
        <v>1300</v>
      </c>
      <c r="G450" s="2" t="s">
        <v>1301</v>
      </c>
      <c r="H450" t="s">
        <v>18</v>
      </c>
      <c r="I450" t="s">
        <v>121</v>
      </c>
      <c r="J450" t="s">
        <v>122</v>
      </c>
      <c r="K450" t="s">
        <v>930</v>
      </c>
      <c r="L450" t="s">
        <v>930</v>
      </c>
      <c r="M450" t="s">
        <v>123</v>
      </c>
      <c r="N450" t="s">
        <v>55</v>
      </c>
      <c r="O450" t="s">
        <v>33</v>
      </c>
      <c r="P450" t="s">
        <v>34</v>
      </c>
      <c r="Q450">
        <v>1</v>
      </c>
      <c r="R450">
        <v>0</v>
      </c>
      <c r="S450" s="2" t="str">
        <f>IFERROR(VLOOKUP(C450,Sheet2!B:E,4,0),C450)</f>
        <v>一般产品</v>
      </c>
    </row>
    <row r="451" spans="1:19" x14ac:dyDescent="0.2">
      <c r="A451" t="s">
        <v>2387</v>
      </c>
      <c r="B451">
        <v>2998</v>
      </c>
      <c r="C451" t="s">
        <v>26</v>
      </c>
      <c r="D451" t="s">
        <v>2257</v>
      </c>
      <c r="E451" t="s">
        <v>1145</v>
      </c>
      <c r="F451" t="s">
        <v>424</v>
      </c>
      <c r="G451" s="2" t="s">
        <v>425</v>
      </c>
      <c r="H451" t="s">
        <v>18</v>
      </c>
      <c r="I451" t="s">
        <v>426</v>
      </c>
      <c r="J451" t="s">
        <v>1341</v>
      </c>
      <c r="K451" t="s">
        <v>930</v>
      </c>
      <c r="L451" t="s">
        <v>930</v>
      </c>
      <c r="M451" t="s">
        <v>1342</v>
      </c>
      <c r="N451" t="s">
        <v>68</v>
      </c>
      <c r="O451" t="s">
        <v>33</v>
      </c>
      <c r="P451" t="s">
        <v>34</v>
      </c>
      <c r="Q451">
        <v>1</v>
      </c>
      <c r="R451">
        <v>0</v>
      </c>
      <c r="S451" s="2" t="str">
        <f>IFERROR(VLOOKUP(C451,Sheet2!B:E,4,0),C451)</f>
        <v>一般产品</v>
      </c>
    </row>
    <row r="452" spans="1:19" x14ac:dyDescent="0.2">
      <c r="A452" t="s">
        <v>2388</v>
      </c>
      <c r="B452">
        <v>3200</v>
      </c>
      <c r="C452" t="s">
        <v>575</v>
      </c>
      <c r="D452" t="s">
        <v>2257</v>
      </c>
      <c r="E452" t="s">
        <v>2389</v>
      </c>
      <c r="F452" t="s">
        <v>329</v>
      </c>
      <c r="G452" s="2" t="s">
        <v>330</v>
      </c>
      <c r="H452" t="s">
        <v>18</v>
      </c>
      <c r="I452" t="s">
        <v>139</v>
      </c>
      <c r="J452" t="s">
        <v>140</v>
      </c>
      <c r="K452" t="s">
        <v>930</v>
      </c>
      <c r="L452" t="s">
        <v>930</v>
      </c>
      <c r="M452" t="s">
        <v>141</v>
      </c>
      <c r="N452" t="s">
        <v>136</v>
      </c>
      <c r="O452" t="s">
        <v>95</v>
      </c>
      <c r="P452" t="s">
        <v>90</v>
      </c>
      <c r="Q452">
        <v>1</v>
      </c>
      <c r="R452">
        <v>0</v>
      </c>
      <c r="S452" s="2" t="str">
        <f>IFERROR(VLOOKUP(C452,Sheet2!B:E,4,0),C452)</f>
        <v>优惠产品</v>
      </c>
    </row>
    <row r="453" spans="1:19" x14ac:dyDescent="0.2">
      <c r="A453" t="s">
        <v>2390</v>
      </c>
      <c r="B453">
        <v>3980</v>
      </c>
      <c r="C453" t="s">
        <v>575</v>
      </c>
      <c r="D453" t="s">
        <v>971</v>
      </c>
      <c r="E453" t="s">
        <v>717</v>
      </c>
      <c r="F453" t="s">
        <v>949</v>
      </c>
      <c r="G453" s="2" t="s">
        <v>950</v>
      </c>
      <c r="H453" t="s">
        <v>28</v>
      </c>
      <c r="I453" t="s">
        <v>467</v>
      </c>
      <c r="J453" t="s">
        <v>468</v>
      </c>
      <c r="K453" t="s">
        <v>930</v>
      </c>
      <c r="L453" t="s">
        <v>930</v>
      </c>
      <c r="M453" t="s">
        <v>469</v>
      </c>
      <c r="N453" t="s">
        <v>61</v>
      </c>
      <c r="O453" t="s">
        <v>129</v>
      </c>
      <c r="P453" t="s">
        <v>25</v>
      </c>
      <c r="Q453">
        <v>1</v>
      </c>
      <c r="R453">
        <v>0</v>
      </c>
      <c r="S453" s="2" t="str">
        <f>IFERROR(VLOOKUP(C453,Sheet2!B:E,4,0),C453)</f>
        <v>优惠产品</v>
      </c>
    </row>
    <row r="454" spans="1:19" x14ac:dyDescent="0.2">
      <c r="A454" t="s">
        <v>2391</v>
      </c>
      <c r="B454">
        <v>1700</v>
      </c>
      <c r="C454" t="s">
        <v>26</v>
      </c>
      <c r="D454" t="s">
        <v>50</v>
      </c>
      <c r="E454" t="s">
        <v>944</v>
      </c>
      <c r="F454" t="s">
        <v>1066</v>
      </c>
      <c r="G454" s="2" t="s">
        <v>1067</v>
      </c>
      <c r="H454" t="s">
        <v>18</v>
      </c>
      <c r="I454" t="s">
        <v>97</v>
      </c>
      <c r="J454" t="s">
        <v>98</v>
      </c>
      <c r="K454" t="s">
        <v>930</v>
      </c>
      <c r="L454" t="s">
        <v>930</v>
      </c>
      <c r="M454" t="s">
        <v>99</v>
      </c>
      <c r="N454" t="s">
        <v>55</v>
      </c>
      <c r="O454" t="s">
        <v>33</v>
      </c>
      <c r="P454" t="s">
        <v>34</v>
      </c>
      <c r="Q454">
        <v>1</v>
      </c>
      <c r="R454">
        <v>0</v>
      </c>
      <c r="S454" s="2" t="str">
        <f>IFERROR(VLOOKUP(C454,Sheet2!B:E,4,0),C454)</f>
        <v>一般产品</v>
      </c>
    </row>
    <row r="455" spans="1:19" x14ac:dyDescent="0.2">
      <c r="A455" t="s">
        <v>2392</v>
      </c>
      <c r="B455">
        <v>5000</v>
      </c>
      <c r="C455" t="s">
        <v>26</v>
      </c>
      <c r="D455" t="s">
        <v>2257</v>
      </c>
      <c r="E455" t="s">
        <v>2393</v>
      </c>
      <c r="F455" t="s">
        <v>293</v>
      </c>
      <c r="G455" s="2" t="s">
        <v>294</v>
      </c>
      <c r="H455" t="s">
        <v>18</v>
      </c>
      <c r="I455" t="s">
        <v>281</v>
      </c>
      <c r="J455" t="s">
        <v>282</v>
      </c>
      <c r="K455" t="s">
        <v>930</v>
      </c>
      <c r="L455" t="s">
        <v>930</v>
      </c>
      <c r="M455" t="s">
        <v>283</v>
      </c>
      <c r="N455" t="s">
        <v>68</v>
      </c>
      <c r="O455" t="s">
        <v>33</v>
      </c>
      <c r="P455" t="s">
        <v>34</v>
      </c>
      <c r="Q455">
        <v>1</v>
      </c>
      <c r="R455">
        <v>0</v>
      </c>
      <c r="S455" s="2" t="str">
        <f>IFERROR(VLOOKUP(C455,Sheet2!B:E,4,0),C455)</f>
        <v>一般产品</v>
      </c>
    </row>
    <row r="456" spans="1:19" x14ac:dyDescent="0.2">
      <c r="A456" t="s">
        <v>2394</v>
      </c>
      <c r="B456">
        <v>4500</v>
      </c>
      <c r="C456" t="s">
        <v>26</v>
      </c>
      <c r="D456" t="s">
        <v>50</v>
      </c>
      <c r="E456" t="s">
        <v>567</v>
      </c>
      <c r="F456" t="s">
        <v>958</v>
      </c>
      <c r="G456" s="2" t="s">
        <v>959</v>
      </c>
      <c r="H456" t="s">
        <v>18</v>
      </c>
      <c r="I456" t="s">
        <v>286</v>
      </c>
      <c r="J456" t="s">
        <v>287</v>
      </c>
      <c r="K456" t="s">
        <v>930</v>
      </c>
      <c r="L456" t="s">
        <v>930</v>
      </c>
      <c r="M456" t="s">
        <v>288</v>
      </c>
      <c r="N456" t="s">
        <v>85</v>
      </c>
      <c r="O456" t="s">
        <v>33</v>
      </c>
      <c r="P456" t="s">
        <v>34</v>
      </c>
      <c r="Q456">
        <v>1</v>
      </c>
      <c r="R456">
        <v>0</v>
      </c>
      <c r="S456" s="2" t="str">
        <f>IFERROR(VLOOKUP(C456,Sheet2!B:E,4,0),C456)</f>
        <v>一般产品</v>
      </c>
    </row>
    <row r="457" spans="1:19" x14ac:dyDescent="0.2">
      <c r="A457" t="s">
        <v>2395</v>
      </c>
      <c r="B457">
        <v>3099</v>
      </c>
      <c r="C457" t="s">
        <v>589</v>
      </c>
      <c r="D457" t="s">
        <v>2257</v>
      </c>
      <c r="E457" t="s">
        <v>1331</v>
      </c>
      <c r="F457" t="s">
        <v>503</v>
      </c>
      <c r="G457" s="2" t="s">
        <v>504</v>
      </c>
      <c r="H457" t="s">
        <v>28</v>
      </c>
      <c r="I457" t="s">
        <v>437</v>
      </c>
      <c r="J457" t="s">
        <v>438</v>
      </c>
      <c r="K457" t="s">
        <v>930</v>
      </c>
      <c r="L457" t="s">
        <v>930</v>
      </c>
      <c r="M457" t="s">
        <v>439</v>
      </c>
      <c r="N457" t="s">
        <v>194</v>
      </c>
      <c r="O457" t="s">
        <v>24</v>
      </c>
      <c r="P457" t="s">
        <v>25</v>
      </c>
      <c r="Q457">
        <v>1</v>
      </c>
      <c r="R457">
        <v>0</v>
      </c>
      <c r="S457" s="2" t="str">
        <f>IFERROR(VLOOKUP(C457,Sheet2!B:E,4,0),C457)</f>
        <v>优惠产品</v>
      </c>
    </row>
    <row r="458" spans="1:19" x14ac:dyDescent="0.2">
      <c r="A458" t="s">
        <v>2396</v>
      </c>
      <c r="B458">
        <v>1299</v>
      </c>
      <c r="C458" t="s">
        <v>589</v>
      </c>
      <c r="D458" t="s">
        <v>2257</v>
      </c>
      <c r="E458" t="s">
        <v>1098</v>
      </c>
      <c r="F458" t="s">
        <v>769</v>
      </c>
      <c r="G458" s="2" t="s">
        <v>770</v>
      </c>
      <c r="H458" t="s">
        <v>18</v>
      </c>
      <c r="I458" t="s">
        <v>74</v>
      </c>
      <c r="J458" t="s">
        <v>75</v>
      </c>
      <c r="K458" t="s">
        <v>930</v>
      </c>
      <c r="L458" t="s">
        <v>930</v>
      </c>
      <c r="M458" t="s">
        <v>938</v>
      </c>
      <c r="N458" t="s">
        <v>44</v>
      </c>
      <c r="O458" t="s">
        <v>24</v>
      </c>
      <c r="P458" t="s">
        <v>25</v>
      </c>
      <c r="Q458">
        <v>1</v>
      </c>
      <c r="R458">
        <v>0</v>
      </c>
      <c r="S458" s="2" t="str">
        <f>IFERROR(VLOOKUP(C458,Sheet2!B:E,4,0),C458)</f>
        <v>优惠产品</v>
      </c>
    </row>
    <row r="459" spans="1:19" x14ac:dyDescent="0.2">
      <c r="A459" t="s">
        <v>2397</v>
      </c>
      <c r="B459">
        <v>2798</v>
      </c>
      <c r="C459" t="s">
        <v>26</v>
      </c>
      <c r="D459" t="s">
        <v>970</v>
      </c>
      <c r="E459" t="s">
        <v>2398</v>
      </c>
      <c r="F459" t="s">
        <v>1725</v>
      </c>
      <c r="G459" s="2" t="s">
        <v>1726</v>
      </c>
      <c r="H459" t="s">
        <v>28</v>
      </c>
      <c r="I459" t="s">
        <v>930</v>
      </c>
      <c r="J459" t="s">
        <v>930</v>
      </c>
      <c r="K459" t="s">
        <v>930</v>
      </c>
      <c r="L459" t="s">
        <v>930</v>
      </c>
      <c r="M459" t="s">
        <v>45</v>
      </c>
      <c r="N459" t="s">
        <v>46</v>
      </c>
      <c r="O459" t="s">
        <v>39</v>
      </c>
      <c r="P459" t="s">
        <v>25</v>
      </c>
      <c r="Q459">
        <v>1</v>
      </c>
      <c r="R459">
        <v>0</v>
      </c>
      <c r="S459" s="2" t="str">
        <f>IFERROR(VLOOKUP(C459,Sheet2!B:E,4,0),C459)</f>
        <v>一般产品</v>
      </c>
    </row>
    <row r="460" spans="1:19" x14ac:dyDescent="0.2">
      <c r="A460" t="s">
        <v>2399</v>
      </c>
      <c r="B460">
        <v>2699</v>
      </c>
      <c r="C460" t="s">
        <v>575</v>
      </c>
      <c r="D460" t="s">
        <v>50</v>
      </c>
      <c r="E460" t="s">
        <v>2400</v>
      </c>
      <c r="F460" t="s">
        <v>109</v>
      </c>
      <c r="G460" s="2" t="s">
        <v>110</v>
      </c>
      <c r="H460" t="s">
        <v>18</v>
      </c>
      <c r="I460" t="s">
        <v>111</v>
      </c>
      <c r="J460" t="s">
        <v>112</v>
      </c>
      <c r="K460" t="s">
        <v>930</v>
      </c>
      <c r="L460" t="s">
        <v>930</v>
      </c>
      <c r="M460" t="s">
        <v>113</v>
      </c>
      <c r="N460" t="s">
        <v>114</v>
      </c>
      <c r="O460" t="s">
        <v>24</v>
      </c>
      <c r="P460" t="s">
        <v>25</v>
      </c>
      <c r="Q460">
        <v>1</v>
      </c>
      <c r="R460">
        <v>0</v>
      </c>
      <c r="S460" s="2" t="str">
        <f>IFERROR(VLOOKUP(C460,Sheet2!B:E,4,0),C460)</f>
        <v>优惠产品</v>
      </c>
    </row>
    <row r="461" spans="1:19" x14ac:dyDescent="0.2">
      <c r="A461" t="s">
        <v>2401</v>
      </c>
      <c r="B461">
        <v>3000</v>
      </c>
      <c r="C461" t="s">
        <v>589</v>
      </c>
      <c r="D461" t="s">
        <v>50</v>
      </c>
      <c r="E461" t="s">
        <v>1123</v>
      </c>
      <c r="F461" t="s">
        <v>976</v>
      </c>
      <c r="G461" s="2" t="s">
        <v>977</v>
      </c>
      <c r="H461" t="s">
        <v>18</v>
      </c>
      <c r="I461" t="s">
        <v>930</v>
      </c>
      <c r="J461" t="s">
        <v>930</v>
      </c>
      <c r="K461" t="s">
        <v>611</v>
      </c>
      <c r="L461" t="s">
        <v>930</v>
      </c>
      <c r="M461" t="s">
        <v>1045</v>
      </c>
      <c r="N461" t="s">
        <v>146</v>
      </c>
      <c r="O461" t="s">
        <v>33</v>
      </c>
      <c r="P461" t="s">
        <v>34</v>
      </c>
      <c r="Q461">
        <v>1</v>
      </c>
      <c r="R461">
        <v>0</v>
      </c>
      <c r="S461" s="2" t="str">
        <f>IFERROR(VLOOKUP(C461,Sheet2!B:E,4,0),C461)</f>
        <v>优惠产品</v>
      </c>
    </row>
    <row r="462" spans="1:19" x14ac:dyDescent="0.2">
      <c r="A462" t="s">
        <v>2402</v>
      </c>
      <c r="B462">
        <v>2402</v>
      </c>
      <c r="C462" t="s">
        <v>26</v>
      </c>
      <c r="D462" t="s">
        <v>50</v>
      </c>
      <c r="E462" t="s">
        <v>2403</v>
      </c>
      <c r="F462" t="s">
        <v>2404</v>
      </c>
      <c r="G462" s="2" t="s">
        <v>2405</v>
      </c>
      <c r="H462" t="s">
        <v>18</v>
      </c>
      <c r="I462" t="s">
        <v>930</v>
      </c>
      <c r="J462" t="s">
        <v>930</v>
      </c>
      <c r="K462" t="s">
        <v>235</v>
      </c>
      <c r="L462" t="s">
        <v>930</v>
      </c>
      <c r="M462" t="s">
        <v>236</v>
      </c>
      <c r="N462" t="s">
        <v>55</v>
      </c>
      <c r="O462" t="s">
        <v>33</v>
      </c>
      <c r="P462" t="s">
        <v>34</v>
      </c>
      <c r="Q462">
        <v>1</v>
      </c>
      <c r="R462">
        <v>0</v>
      </c>
      <c r="S462" s="2" t="str">
        <f>IFERROR(VLOOKUP(C462,Sheet2!B:E,4,0),C462)</f>
        <v>一般产品</v>
      </c>
    </row>
    <row r="463" spans="1:19" x14ac:dyDescent="0.2">
      <c r="A463" t="s">
        <v>2406</v>
      </c>
      <c r="B463">
        <v>3000</v>
      </c>
      <c r="C463" t="s">
        <v>26</v>
      </c>
      <c r="D463" t="s">
        <v>50</v>
      </c>
      <c r="E463" t="s">
        <v>280</v>
      </c>
      <c r="F463" t="s">
        <v>2407</v>
      </c>
      <c r="G463" s="2" t="s">
        <v>2408</v>
      </c>
      <c r="H463" t="s">
        <v>18</v>
      </c>
      <c r="I463" t="s">
        <v>281</v>
      </c>
      <c r="J463" t="s">
        <v>282</v>
      </c>
      <c r="K463" t="s">
        <v>930</v>
      </c>
      <c r="L463" t="s">
        <v>930</v>
      </c>
      <c r="M463" t="s">
        <v>283</v>
      </c>
      <c r="N463" t="s">
        <v>68</v>
      </c>
      <c r="O463" t="s">
        <v>33</v>
      </c>
      <c r="P463" t="s">
        <v>34</v>
      </c>
      <c r="Q463">
        <v>1</v>
      </c>
      <c r="R463">
        <v>0</v>
      </c>
      <c r="S463" s="2" t="str">
        <f>IFERROR(VLOOKUP(C463,Sheet2!B:E,4,0),C463)</f>
        <v>一般产品</v>
      </c>
    </row>
    <row r="464" spans="1:19" x14ac:dyDescent="0.2">
      <c r="A464" t="s">
        <v>2409</v>
      </c>
      <c r="B464">
        <v>3499</v>
      </c>
      <c r="C464" t="s">
        <v>26</v>
      </c>
      <c r="D464" t="s">
        <v>2257</v>
      </c>
      <c r="E464" t="s">
        <v>1435</v>
      </c>
      <c r="F464" t="s">
        <v>1220</v>
      </c>
      <c r="G464" s="2" t="s">
        <v>1221</v>
      </c>
      <c r="H464" t="s">
        <v>18</v>
      </c>
      <c r="I464" t="s">
        <v>930</v>
      </c>
      <c r="J464" t="s">
        <v>930</v>
      </c>
      <c r="K464" t="s">
        <v>163</v>
      </c>
      <c r="L464" t="s">
        <v>930</v>
      </c>
      <c r="M464" t="s">
        <v>931</v>
      </c>
      <c r="N464" t="s">
        <v>68</v>
      </c>
      <c r="O464" t="s">
        <v>33</v>
      </c>
      <c r="P464" t="s">
        <v>34</v>
      </c>
      <c r="Q464">
        <v>1</v>
      </c>
      <c r="R464">
        <v>0</v>
      </c>
      <c r="S464" s="2" t="str">
        <f>IFERROR(VLOOKUP(C464,Sheet2!B:E,4,0),C464)</f>
        <v>一般产品</v>
      </c>
    </row>
    <row r="465" spans="1:19" x14ac:dyDescent="0.2">
      <c r="A465" t="s">
        <v>2410</v>
      </c>
      <c r="B465">
        <v>1400</v>
      </c>
      <c r="C465" t="s">
        <v>26</v>
      </c>
      <c r="D465" t="s">
        <v>50</v>
      </c>
      <c r="E465" t="s">
        <v>1287</v>
      </c>
      <c r="F465" t="s">
        <v>804</v>
      </c>
      <c r="G465" s="2" t="s">
        <v>805</v>
      </c>
      <c r="H465" t="s">
        <v>18</v>
      </c>
      <c r="I465" t="s">
        <v>221</v>
      </c>
      <c r="J465" t="s">
        <v>222</v>
      </c>
      <c r="K465" t="s">
        <v>930</v>
      </c>
      <c r="L465" t="s">
        <v>930</v>
      </c>
      <c r="M465" t="s">
        <v>223</v>
      </c>
      <c r="N465" t="s">
        <v>55</v>
      </c>
      <c r="O465" t="s">
        <v>33</v>
      </c>
      <c r="P465" t="s">
        <v>34</v>
      </c>
      <c r="Q465">
        <v>1</v>
      </c>
      <c r="R465">
        <v>0</v>
      </c>
      <c r="S465" s="2" t="str">
        <f>IFERROR(VLOOKUP(C465,Sheet2!B:E,4,0),C465)</f>
        <v>一般产品</v>
      </c>
    </row>
    <row r="466" spans="1:19" x14ac:dyDescent="0.2">
      <c r="A466" t="s">
        <v>2411</v>
      </c>
      <c r="B466">
        <v>2700</v>
      </c>
      <c r="C466" t="s">
        <v>26</v>
      </c>
      <c r="D466" t="s">
        <v>970</v>
      </c>
      <c r="E466" t="s">
        <v>647</v>
      </c>
      <c r="F466" t="s">
        <v>648</v>
      </c>
      <c r="G466" s="2" t="s">
        <v>649</v>
      </c>
      <c r="H466" t="s">
        <v>18</v>
      </c>
      <c r="I466" t="s">
        <v>88</v>
      </c>
      <c r="J466" t="s">
        <v>89</v>
      </c>
      <c r="K466" t="s">
        <v>930</v>
      </c>
      <c r="L466" t="s">
        <v>930</v>
      </c>
      <c r="M466" t="s">
        <v>933</v>
      </c>
      <c r="N466" t="s">
        <v>32</v>
      </c>
      <c r="O466" t="s">
        <v>33</v>
      </c>
      <c r="P466" t="s">
        <v>34</v>
      </c>
      <c r="Q466">
        <v>1</v>
      </c>
      <c r="R466">
        <v>0</v>
      </c>
      <c r="S466" s="2" t="str">
        <f>IFERROR(VLOOKUP(C466,Sheet2!B:E,4,0),C466)</f>
        <v>一般产品</v>
      </c>
    </row>
    <row r="467" spans="1:19" x14ac:dyDescent="0.2">
      <c r="A467" t="s">
        <v>2412</v>
      </c>
      <c r="B467">
        <v>3699</v>
      </c>
      <c r="C467" t="s">
        <v>26</v>
      </c>
      <c r="D467" t="s">
        <v>971</v>
      </c>
      <c r="E467" t="s">
        <v>1025</v>
      </c>
      <c r="F467" t="s">
        <v>1195</v>
      </c>
      <c r="G467" s="2" t="s">
        <v>1196</v>
      </c>
      <c r="H467" t="s">
        <v>18</v>
      </c>
      <c r="I467" t="s">
        <v>40</v>
      </c>
      <c r="J467" t="s">
        <v>41</v>
      </c>
      <c r="K467" t="s">
        <v>930</v>
      </c>
      <c r="L467" t="s">
        <v>930</v>
      </c>
      <c r="M467" t="s">
        <v>42</v>
      </c>
      <c r="N467" t="s">
        <v>43</v>
      </c>
      <c r="O467" t="s">
        <v>24</v>
      </c>
      <c r="P467" t="s">
        <v>25</v>
      </c>
      <c r="Q467">
        <v>1</v>
      </c>
      <c r="R467">
        <v>0</v>
      </c>
      <c r="S467" s="2" t="str">
        <f>IFERROR(VLOOKUP(C467,Sheet2!B:E,4,0),C467)</f>
        <v>一般产品</v>
      </c>
    </row>
    <row r="468" spans="1:19" x14ac:dyDescent="0.2">
      <c r="A468" t="s">
        <v>2413</v>
      </c>
      <c r="B468">
        <v>3000</v>
      </c>
      <c r="C468" t="s">
        <v>589</v>
      </c>
      <c r="D468" t="s">
        <v>50</v>
      </c>
      <c r="E468" t="s">
        <v>667</v>
      </c>
      <c r="F468" t="s">
        <v>732</v>
      </c>
      <c r="G468" s="2" t="s">
        <v>733</v>
      </c>
      <c r="H468" t="s">
        <v>18</v>
      </c>
      <c r="I468" t="s">
        <v>930</v>
      </c>
      <c r="J468" t="s">
        <v>930</v>
      </c>
      <c r="K468" t="s">
        <v>611</v>
      </c>
      <c r="L468" t="s">
        <v>930</v>
      </c>
      <c r="M468" t="s">
        <v>1045</v>
      </c>
      <c r="N468" t="s">
        <v>146</v>
      </c>
      <c r="O468" t="s">
        <v>33</v>
      </c>
      <c r="P468" t="s">
        <v>34</v>
      </c>
      <c r="Q468">
        <v>1</v>
      </c>
      <c r="R468">
        <v>0</v>
      </c>
      <c r="S468" s="2" t="str">
        <f>IFERROR(VLOOKUP(C468,Sheet2!B:E,4,0),C468)</f>
        <v>优惠产品</v>
      </c>
    </row>
    <row r="469" spans="1:19" x14ac:dyDescent="0.2">
      <c r="A469" t="s">
        <v>2414</v>
      </c>
      <c r="B469">
        <v>3499</v>
      </c>
      <c r="C469" t="s">
        <v>575</v>
      </c>
      <c r="D469" t="s">
        <v>2257</v>
      </c>
      <c r="E469" t="s">
        <v>1763</v>
      </c>
      <c r="F469" t="s">
        <v>1163</v>
      </c>
      <c r="G469" s="2" t="s">
        <v>1164</v>
      </c>
      <c r="H469" t="s">
        <v>18</v>
      </c>
      <c r="I469" t="s">
        <v>930</v>
      </c>
      <c r="J469" t="s">
        <v>930</v>
      </c>
      <c r="K469" t="s">
        <v>448</v>
      </c>
      <c r="L469" t="s">
        <v>930</v>
      </c>
      <c r="M469" t="s">
        <v>449</v>
      </c>
      <c r="N469" t="s">
        <v>194</v>
      </c>
      <c r="O469" t="s">
        <v>24</v>
      </c>
      <c r="P469" t="s">
        <v>25</v>
      </c>
      <c r="Q469">
        <v>1</v>
      </c>
      <c r="R469">
        <v>0</v>
      </c>
      <c r="S469" s="2" t="str">
        <f>IFERROR(VLOOKUP(C469,Sheet2!B:E,4,0),C469)</f>
        <v>优惠产品</v>
      </c>
    </row>
    <row r="470" spans="1:19" x14ac:dyDescent="0.2">
      <c r="A470" t="s">
        <v>2415</v>
      </c>
      <c r="B470">
        <v>2998</v>
      </c>
      <c r="C470" t="s">
        <v>589</v>
      </c>
      <c r="D470" t="s">
        <v>50</v>
      </c>
      <c r="E470" t="s">
        <v>1198</v>
      </c>
      <c r="F470" t="s">
        <v>846</v>
      </c>
      <c r="G470" s="2" t="s">
        <v>847</v>
      </c>
      <c r="H470" t="s">
        <v>18</v>
      </c>
      <c r="I470" t="s">
        <v>295</v>
      </c>
      <c r="J470" t="s">
        <v>296</v>
      </c>
      <c r="K470" t="s">
        <v>930</v>
      </c>
      <c r="L470" t="s">
        <v>930</v>
      </c>
      <c r="M470" t="s">
        <v>297</v>
      </c>
      <c r="N470" t="s">
        <v>51</v>
      </c>
      <c r="O470" t="s">
        <v>33</v>
      </c>
      <c r="P470" t="s">
        <v>34</v>
      </c>
      <c r="Q470">
        <v>1</v>
      </c>
      <c r="R470">
        <v>0</v>
      </c>
      <c r="S470" s="2" t="str">
        <f>IFERROR(VLOOKUP(C470,Sheet2!B:E,4,0),C470)</f>
        <v>优惠产品</v>
      </c>
    </row>
    <row r="471" spans="1:19" x14ac:dyDescent="0.2">
      <c r="A471" t="s">
        <v>2416</v>
      </c>
      <c r="B471">
        <v>4100</v>
      </c>
      <c r="C471" t="s">
        <v>575</v>
      </c>
      <c r="D471" t="s">
        <v>50</v>
      </c>
      <c r="E471" t="s">
        <v>2417</v>
      </c>
      <c r="F471" t="s">
        <v>2418</v>
      </c>
      <c r="G471" s="2" t="s">
        <v>2419</v>
      </c>
      <c r="H471" t="s">
        <v>18</v>
      </c>
      <c r="I471" t="s">
        <v>930</v>
      </c>
      <c r="J471" t="s">
        <v>930</v>
      </c>
      <c r="K471" t="s">
        <v>414</v>
      </c>
      <c r="L471" t="s">
        <v>930</v>
      </c>
      <c r="M471" t="s">
        <v>415</v>
      </c>
      <c r="N471" t="s">
        <v>114</v>
      </c>
      <c r="O471" t="s">
        <v>24</v>
      </c>
      <c r="P471" t="s">
        <v>25</v>
      </c>
      <c r="Q471">
        <v>1</v>
      </c>
      <c r="R471">
        <v>0</v>
      </c>
      <c r="S471" s="2" t="str">
        <f>IFERROR(VLOOKUP(C471,Sheet2!B:E,4,0),C471)</f>
        <v>优惠产品</v>
      </c>
    </row>
    <row r="472" spans="1:19" x14ac:dyDescent="0.2">
      <c r="A472" t="s">
        <v>2420</v>
      </c>
      <c r="B472">
        <v>2198</v>
      </c>
      <c r="C472" t="s">
        <v>575</v>
      </c>
      <c r="D472" t="s">
        <v>2257</v>
      </c>
      <c r="E472" t="s">
        <v>2421</v>
      </c>
      <c r="F472" t="s">
        <v>461</v>
      </c>
      <c r="G472" s="2" t="s">
        <v>462</v>
      </c>
      <c r="H472" t="s">
        <v>18</v>
      </c>
      <c r="I472" t="s">
        <v>307</v>
      </c>
      <c r="J472" t="s">
        <v>308</v>
      </c>
      <c r="K472" t="s">
        <v>930</v>
      </c>
      <c r="L472" t="s">
        <v>930</v>
      </c>
      <c r="M472" t="s">
        <v>309</v>
      </c>
      <c r="N472" t="s">
        <v>94</v>
      </c>
      <c r="O472" t="s">
        <v>95</v>
      </c>
      <c r="P472" t="s">
        <v>90</v>
      </c>
      <c r="Q472">
        <v>1</v>
      </c>
      <c r="R472">
        <v>0</v>
      </c>
      <c r="S472" s="2" t="str">
        <f>IFERROR(VLOOKUP(C472,Sheet2!B:E,4,0),C472)</f>
        <v>优惠产品</v>
      </c>
    </row>
    <row r="473" spans="1:19" x14ac:dyDescent="0.2">
      <c r="A473" t="s">
        <v>2422</v>
      </c>
      <c r="B473">
        <v>1498</v>
      </c>
      <c r="C473" t="s">
        <v>589</v>
      </c>
      <c r="D473" t="s">
        <v>2257</v>
      </c>
      <c r="E473" t="s">
        <v>2423</v>
      </c>
      <c r="F473" t="s">
        <v>291</v>
      </c>
      <c r="G473" s="2" t="s">
        <v>292</v>
      </c>
      <c r="H473" t="s">
        <v>28</v>
      </c>
      <c r="I473" t="s">
        <v>76</v>
      </c>
      <c r="J473" t="s">
        <v>77</v>
      </c>
      <c r="K473" t="s">
        <v>930</v>
      </c>
      <c r="L473" t="s">
        <v>930</v>
      </c>
      <c r="M473" t="s">
        <v>78</v>
      </c>
      <c r="N473" t="s">
        <v>44</v>
      </c>
      <c r="O473" t="s">
        <v>24</v>
      </c>
      <c r="P473" t="s">
        <v>25</v>
      </c>
      <c r="Q473">
        <v>1</v>
      </c>
      <c r="R473">
        <v>0</v>
      </c>
      <c r="S473" s="2" t="str">
        <f>IFERROR(VLOOKUP(C473,Sheet2!B:E,4,0),C473)</f>
        <v>优惠产品</v>
      </c>
    </row>
    <row r="474" spans="1:19" x14ac:dyDescent="0.2">
      <c r="A474" t="s">
        <v>2424</v>
      </c>
      <c r="B474">
        <v>4000</v>
      </c>
      <c r="C474" t="s">
        <v>26</v>
      </c>
      <c r="D474" t="s">
        <v>970</v>
      </c>
      <c r="E474" t="s">
        <v>1035</v>
      </c>
      <c r="F474" t="s">
        <v>1036</v>
      </c>
      <c r="G474" s="2" t="s">
        <v>1037</v>
      </c>
      <c r="H474" t="s">
        <v>18</v>
      </c>
      <c r="I474" t="s">
        <v>401</v>
      </c>
      <c r="J474" t="s">
        <v>402</v>
      </c>
      <c r="K474" t="s">
        <v>930</v>
      </c>
      <c r="L474" t="s">
        <v>930</v>
      </c>
      <c r="M474" t="s">
        <v>403</v>
      </c>
      <c r="N474" t="s">
        <v>68</v>
      </c>
      <c r="O474" t="s">
        <v>33</v>
      </c>
      <c r="P474" t="s">
        <v>34</v>
      </c>
      <c r="Q474">
        <v>1</v>
      </c>
      <c r="R474">
        <v>0</v>
      </c>
      <c r="S474" s="2" t="str">
        <f>IFERROR(VLOOKUP(C474,Sheet2!B:E,4,0),C474)</f>
        <v>一般产品</v>
      </c>
    </row>
    <row r="475" spans="1:19" x14ac:dyDescent="0.2">
      <c r="A475" t="s">
        <v>2425</v>
      </c>
      <c r="B475">
        <v>3500</v>
      </c>
      <c r="C475" t="s">
        <v>26</v>
      </c>
      <c r="D475" t="s">
        <v>2257</v>
      </c>
      <c r="E475" t="s">
        <v>566</v>
      </c>
      <c r="F475" t="s">
        <v>2426</v>
      </c>
      <c r="G475" s="2" t="s">
        <v>2427</v>
      </c>
      <c r="H475" t="s">
        <v>18</v>
      </c>
      <c r="I475" t="s">
        <v>505</v>
      </c>
      <c r="J475" t="s">
        <v>506</v>
      </c>
      <c r="K475" t="s">
        <v>930</v>
      </c>
      <c r="L475" t="s">
        <v>930</v>
      </c>
      <c r="M475" t="s">
        <v>507</v>
      </c>
      <c r="N475" t="s">
        <v>51</v>
      </c>
      <c r="O475" t="s">
        <v>33</v>
      </c>
      <c r="P475" t="s">
        <v>34</v>
      </c>
      <c r="Q475">
        <v>1</v>
      </c>
      <c r="R475">
        <v>0</v>
      </c>
      <c r="S475" s="2" t="str">
        <f>IFERROR(VLOOKUP(C475,Sheet2!B:E,4,0),C475)</f>
        <v>一般产品</v>
      </c>
    </row>
    <row r="476" spans="1:19" x14ac:dyDescent="0.2">
      <c r="A476" t="s">
        <v>2428</v>
      </c>
      <c r="B476">
        <v>2198</v>
      </c>
      <c r="C476" t="s">
        <v>26</v>
      </c>
      <c r="D476" t="s">
        <v>50</v>
      </c>
      <c r="E476" t="s">
        <v>790</v>
      </c>
      <c r="F476" t="s">
        <v>1014</v>
      </c>
      <c r="G476" s="2" t="s">
        <v>1015</v>
      </c>
      <c r="H476" t="s">
        <v>18</v>
      </c>
      <c r="I476" t="s">
        <v>164</v>
      </c>
      <c r="J476" t="s">
        <v>165</v>
      </c>
      <c r="K476" t="s">
        <v>930</v>
      </c>
      <c r="L476" t="s">
        <v>930</v>
      </c>
      <c r="M476" t="s">
        <v>166</v>
      </c>
      <c r="N476" t="s">
        <v>55</v>
      </c>
      <c r="O476" t="s">
        <v>33</v>
      </c>
      <c r="P476" t="s">
        <v>34</v>
      </c>
      <c r="Q476">
        <v>1</v>
      </c>
      <c r="R476">
        <v>0</v>
      </c>
      <c r="S476" s="2" t="str">
        <f>IFERROR(VLOOKUP(C476,Sheet2!B:E,4,0),C476)</f>
        <v>一般产品</v>
      </c>
    </row>
    <row r="477" spans="1:19" x14ac:dyDescent="0.2">
      <c r="A477" t="s">
        <v>2429</v>
      </c>
      <c r="B477">
        <v>2500</v>
      </c>
      <c r="C477" t="s">
        <v>26</v>
      </c>
      <c r="D477" t="s">
        <v>50</v>
      </c>
      <c r="E477" t="s">
        <v>978</v>
      </c>
      <c r="F477" t="s">
        <v>786</v>
      </c>
      <c r="G477" s="2" t="s">
        <v>787</v>
      </c>
      <c r="H477" t="s">
        <v>18</v>
      </c>
      <c r="I477" t="s">
        <v>52</v>
      </c>
      <c r="J477" t="s">
        <v>53</v>
      </c>
      <c r="K477" t="s">
        <v>930</v>
      </c>
      <c r="L477" t="s">
        <v>930</v>
      </c>
      <c r="M477" t="s">
        <v>54</v>
      </c>
      <c r="N477" t="s">
        <v>55</v>
      </c>
      <c r="O477" t="s">
        <v>33</v>
      </c>
      <c r="P477" t="s">
        <v>34</v>
      </c>
      <c r="Q477">
        <v>1</v>
      </c>
      <c r="R477">
        <v>0</v>
      </c>
      <c r="S477" s="2" t="str">
        <f>IFERROR(VLOOKUP(C477,Sheet2!B:E,4,0),C477)</f>
        <v>一般产品</v>
      </c>
    </row>
    <row r="478" spans="1:19" x14ac:dyDescent="0.2">
      <c r="A478" t="s">
        <v>2430</v>
      </c>
      <c r="B478">
        <v>2699</v>
      </c>
      <c r="C478" t="s">
        <v>26</v>
      </c>
      <c r="D478" t="s">
        <v>2257</v>
      </c>
      <c r="E478" t="s">
        <v>2431</v>
      </c>
      <c r="F478" t="s">
        <v>2432</v>
      </c>
      <c r="G478" s="2" t="s">
        <v>2433</v>
      </c>
      <c r="H478" t="s">
        <v>18</v>
      </c>
      <c r="I478" t="s">
        <v>727</v>
      </c>
      <c r="J478" t="s">
        <v>728</v>
      </c>
      <c r="K478" t="s">
        <v>930</v>
      </c>
      <c r="L478" t="s">
        <v>930</v>
      </c>
      <c r="M478" t="s">
        <v>729</v>
      </c>
      <c r="N478" t="s">
        <v>73</v>
      </c>
      <c r="O478" t="s">
        <v>24</v>
      </c>
      <c r="P478" t="s">
        <v>25</v>
      </c>
      <c r="Q478">
        <v>1</v>
      </c>
      <c r="R478">
        <v>0</v>
      </c>
      <c r="S478" s="2" t="str">
        <f>IFERROR(VLOOKUP(C478,Sheet2!B:E,4,0),C478)</f>
        <v>一般产品</v>
      </c>
    </row>
    <row r="479" spans="1:19" x14ac:dyDescent="0.2">
      <c r="A479" t="s">
        <v>2434</v>
      </c>
      <c r="B479">
        <v>1749</v>
      </c>
      <c r="C479" t="s">
        <v>26</v>
      </c>
      <c r="D479" t="s">
        <v>50</v>
      </c>
      <c r="E479" t="s">
        <v>2435</v>
      </c>
      <c r="F479" t="s">
        <v>814</v>
      </c>
      <c r="G479" s="2" t="s">
        <v>815</v>
      </c>
      <c r="H479" t="s">
        <v>18</v>
      </c>
      <c r="I479" t="s">
        <v>207</v>
      </c>
      <c r="J479" t="s">
        <v>208</v>
      </c>
      <c r="K479" t="s">
        <v>930</v>
      </c>
      <c r="L479" t="s">
        <v>930</v>
      </c>
      <c r="M479" t="s">
        <v>209</v>
      </c>
      <c r="N479" t="s">
        <v>32</v>
      </c>
      <c r="O479" t="s">
        <v>33</v>
      </c>
      <c r="P479" t="s">
        <v>34</v>
      </c>
      <c r="Q479">
        <v>1</v>
      </c>
      <c r="R479">
        <v>0</v>
      </c>
      <c r="S479" s="2" t="str">
        <f>IFERROR(VLOOKUP(C479,Sheet2!B:E,4,0),C479)</f>
        <v>一般产品</v>
      </c>
    </row>
    <row r="480" spans="1:19" x14ac:dyDescent="0.2">
      <c r="A480" t="s">
        <v>2436</v>
      </c>
      <c r="B480">
        <v>2500</v>
      </c>
      <c r="C480" t="s">
        <v>26</v>
      </c>
      <c r="D480" t="s">
        <v>50</v>
      </c>
      <c r="E480" t="s">
        <v>2437</v>
      </c>
      <c r="F480" t="s">
        <v>2438</v>
      </c>
      <c r="G480" s="2" t="s">
        <v>2439</v>
      </c>
      <c r="H480" t="s">
        <v>18</v>
      </c>
      <c r="I480" t="s">
        <v>56</v>
      </c>
      <c r="J480" t="s">
        <v>57</v>
      </c>
      <c r="K480" t="s">
        <v>930</v>
      </c>
      <c r="L480" t="s">
        <v>930</v>
      </c>
      <c r="M480" t="s">
        <v>58</v>
      </c>
      <c r="N480" t="s">
        <v>108</v>
      </c>
      <c r="O480" t="s">
        <v>33</v>
      </c>
      <c r="P480" t="s">
        <v>34</v>
      </c>
      <c r="Q480">
        <v>1</v>
      </c>
      <c r="R480">
        <v>0</v>
      </c>
      <c r="S480" s="2" t="str">
        <f>IFERROR(VLOOKUP(C480,Sheet2!B:E,4,0),C480)</f>
        <v>一般产品</v>
      </c>
    </row>
    <row r="481" spans="1:19" x14ac:dyDescent="0.2">
      <c r="A481" t="s">
        <v>2440</v>
      </c>
      <c r="B481">
        <v>1999</v>
      </c>
      <c r="C481" t="s">
        <v>580</v>
      </c>
      <c r="D481" t="s">
        <v>2257</v>
      </c>
      <c r="E481" t="s">
        <v>2441</v>
      </c>
      <c r="F481" t="s">
        <v>1381</v>
      </c>
      <c r="G481" s="2" t="s">
        <v>1382</v>
      </c>
      <c r="H481" t="s">
        <v>18</v>
      </c>
      <c r="I481" t="s">
        <v>930</v>
      </c>
      <c r="J481" t="s">
        <v>930</v>
      </c>
      <c r="K481" t="s">
        <v>448</v>
      </c>
      <c r="L481" t="s">
        <v>930</v>
      </c>
      <c r="M481" t="s">
        <v>449</v>
      </c>
      <c r="N481" t="s">
        <v>194</v>
      </c>
      <c r="O481" t="s">
        <v>24</v>
      </c>
      <c r="P481" t="s">
        <v>25</v>
      </c>
      <c r="Q481">
        <v>1</v>
      </c>
      <c r="R481">
        <v>0</v>
      </c>
      <c r="S481" s="2" t="str">
        <f>IFERROR(VLOOKUP(C481,Sheet2!B:E,4,0),C481)</f>
        <v>10期贷</v>
      </c>
    </row>
    <row r="482" spans="1:19" x14ac:dyDescent="0.2">
      <c r="A482" t="s">
        <v>2442</v>
      </c>
      <c r="B482">
        <v>3998</v>
      </c>
      <c r="C482" t="s">
        <v>128</v>
      </c>
      <c r="D482" t="s">
        <v>2257</v>
      </c>
      <c r="E482" t="s">
        <v>2258</v>
      </c>
      <c r="F482" t="s">
        <v>272</v>
      </c>
      <c r="G482" s="2" t="s">
        <v>273</v>
      </c>
      <c r="H482" t="s">
        <v>18</v>
      </c>
      <c r="I482" t="s">
        <v>930</v>
      </c>
      <c r="J482" t="s">
        <v>930</v>
      </c>
      <c r="K482" t="s">
        <v>274</v>
      </c>
      <c r="L482" t="s">
        <v>930</v>
      </c>
      <c r="M482" t="s">
        <v>275</v>
      </c>
      <c r="N482" t="s">
        <v>60</v>
      </c>
      <c r="O482" t="s">
        <v>72</v>
      </c>
      <c r="P482" t="s">
        <v>34</v>
      </c>
      <c r="Q482">
        <v>1</v>
      </c>
      <c r="R482">
        <v>0</v>
      </c>
      <c r="S482" s="2" t="str">
        <f>IFERROR(VLOOKUP(C482,Sheet2!B:E,4,0),C482)</f>
        <v>一折贷</v>
      </c>
    </row>
    <row r="483" spans="1:19" x14ac:dyDescent="0.2">
      <c r="A483" t="s">
        <v>2443</v>
      </c>
      <c r="B483">
        <v>4200</v>
      </c>
      <c r="C483" t="s">
        <v>26</v>
      </c>
      <c r="D483" t="s">
        <v>971</v>
      </c>
      <c r="E483" t="s">
        <v>2444</v>
      </c>
      <c r="F483" t="s">
        <v>2445</v>
      </c>
      <c r="G483" s="2" t="s">
        <v>2446</v>
      </c>
      <c r="H483" t="s">
        <v>18</v>
      </c>
      <c r="I483" t="s">
        <v>40</v>
      </c>
      <c r="J483" t="s">
        <v>41</v>
      </c>
      <c r="K483" t="s">
        <v>930</v>
      </c>
      <c r="L483" t="s">
        <v>930</v>
      </c>
      <c r="M483" t="s">
        <v>42</v>
      </c>
      <c r="N483" t="s">
        <v>43</v>
      </c>
      <c r="O483" t="s">
        <v>24</v>
      </c>
      <c r="P483" t="s">
        <v>25</v>
      </c>
      <c r="Q483">
        <v>1</v>
      </c>
      <c r="R483">
        <v>0</v>
      </c>
      <c r="S483" s="2" t="str">
        <f>IFERROR(VLOOKUP(C483,Sheet2!B:E,4,0),C483)</f>
        <v>一般产品</v>
      </c>
    </row>
    <row r="484" spans="1:19" x14ac:dyDescent="0.2">
      <c r="A484" t="s">
        <v>2447</v>
      </c>
      <c r="B484">
        <v>2099</v>
      </c>
      <c r="C484" t="s">
        <v>26</v>
      </c>
      <c r="D484" t="s">
        <v>2257</v>
      </c>
      <c r="E484" t="s">
        <v>2448</v>
      </c>
      <c r="F484" t="s">
        <v>2449</v>
      </c>
      <c r="G484" s="2" t="s">
        <v>2450</v>
      </c>
      <c r="H484" t="s">
        <v>18</v>
      </c>
      <c r="I484" t="s">
        <v>340</v>
      </c>
      <c r="J484" t="s">
        <v>341</v>
      </c>
      <c r="K484" t="s">
        <v>930</v>
      </c>
      <c r="L484" t="s">
        <v>930</v>
      </c>
      <c r="M484" t="s">
        <v>342</v>
      </c>
      <c r="N484" t="s">
        <v>44</v>
      </c>
      <c r="O484" t="s">
        <v>24</v>
      </c>
      <c r="P484" t="s">
        <v>25</v>
      </c>
      <c r="Q484">
        <v>1</v>
      </c>
      <c r="R484">
        <v>0</v>
      </c>
      <c r="S484" s="2" t="str">
        <f>IFERROR(VLOOKUP(C484,Sheet2!B:E,4,0),C484)</f>
        <v>一般产品</v>
      </c>
    </row>
    <row r="485" spans="1:19" x14ac:dyDescent="0.2">
      <c r="A485" t="s">
        <v>2451</v>
      </c>
      <c r="B485">
        <v>3898</v>
      </c>
      <c r="C485" t="s">
        <v>26</v>
      </c>
      <c r="D485" t="s">
        <v>2257</v>
      </c>
      <c r="E485" t="s">
        <v>2452</v>
      </c>
      <c r="F485" t="s">
        <v>459</v>
      </c>
      <c r="G485" s="2" t="s">
        <v>460</v>
      </c>
      <c r="H485" t="s">
        <v>18</v>
      </c>
      <c r="I485" t="s">
        <v>250</v>
      </c>
      <c r="J485" t="s">
        <v>251</v>
      </c>
      <c r="K485" t="s">
        <v>930</v>
      </c>
      <c r="L485" t="s">
        <v>930</v>
      </c>
      <c r="M485" t="s">
        <v>252</v>
      </c>
      <c r="N485" t="s">
        <v>44</v>
      </c>
      <c r="O485" t="s">
        <v>24</v>
      </c>
      <c r="P485" t="s">
        <v>25</v>
      </c>
      <c r="Q485">
        <v>1</v>
      </c>
      <c r="R485">
        <v>0</v>
      </c>
      <c r="S485" s="2" t="str">
        <f>IFERROR(VLOOKUP(C485,Sheet2!B:E,4,0),C485)</f>
        <v>一般产品</v>
      </c>
    </row>
    <row r="486" spans="1:19" x14ac:dyDescent="0.2">
      <c r="A486" t="s">
        <v>2453</v>
      </c>
      <c r="B486">
        <v>3500</v>
      </c>
      <c r="C486" t="s">
        <v>26</v>
      </c>
      <c r="D486" t="s">
        <v>971</v>
      </c>
      <c r="E486" t="s">
        <v>1579</v>
      </c>
      <c r="F486" t="s">
        <v>965</v>
      </c>
      <c r="G486" s="2" t="s">
        <v>966</v>
      </c>
      <c r="H486" t="s">
        <v>18</v>
      </c>
      <c r="I486" t="s">
        <v>934</v>
      </c>
      <c r="J486" t="s">
        <v>935</v>
      </c>
      <c r="K486" t="s">
        <v>930</v>
      </c>
      <c r="L486" t="s">
        <v>930</v>
      </c>
      <c r="M486" t="s">
        <v>936</v>
      </c>
      <c r="N486" t="s">
        <v>45</v>
      </c>
      <c r="O486" t="s">
        <v>48</v>
      </c>
      <c r="P486" t="s">
        <v>49</v>
      </c>
      <c r="Q486">
        <v>1</v>
      </c>
      <c r="R486">
        <v>0</v>
      </c>
      <c r="S486" s="2" t="str">
        <f>IFERROR(VLOOKUP(C486,Sheet2!B:E,4,0),C486)</f>
        <v>一般产品</v>
      </c>
    </row>
    <row r="487" spans="1:19" x14ac:dyDescent="0.2">
      <c r="A487" t="s">
        <v>2454</v>
      </c>
      <c r="B487">
        <v>2998</v>
      </c>
      <c r="C487" t="s">
        <v>580</v>
      </c>
      <c r="D487" t="s">
        <v>2257</v>
      </c>
      <c r="E487" t="s">
        <v>2455</v>
      </c>
      <c r="F487" t="s">
        <v>2456</v>
      </c>
      <c r="G487" s="2" t="s">
        <v>2457</v>
      </c>
      <c r="H487" t="s">
        <v>18</v>
      </c>
      <c r="I487" t="s">
        <v>445</v>
      </c>
      <c r="J487" t="s">
        <v>446</v>
      </c>
      <c r="K487" t="s">
        <v>930</v>
      </c>
      <c r="L487" t="s">
        <v>930</v>
      </c>
      <c r="M487" t="s">
        <v>447</v>
      </c>
      <c r="N487" t="s">
        <v>44</v>
      </c>
      <c r="O487" t="s">
        <v>24</v>
      </c>
      <c r="P487" t="s">
        <v>25</v>
      </c>
      <c r="Q487">
        <v>1</v>
      </c>
      <c r="R487">
        <v>0</v>
      </c>
      <c r="S487" s="2" t="str">
        <f>IFERROR(VLOOKUP(C487,Sheet2!B:E,4,0),C487)</f>
        <v>10期贷</v>
      </c>
    </row>
    <row r="488" spans="1:19" x14ac:dyDescent="0.2">
      <c r="A488" t="s">
        <v>2458</v>
      </c>
      <c r="B488">
        <v>3500</v>
      </c>
      <c r="C488" t="s">
        <v>26</v>
      </c>
      <c r="D488" t="s">
        <v>50</v>
      </c>
      <c r="E488" t="s">
        <v>2459</v>
      </c>
      <c r="F488" t="s">
        <v>741</v>
      </c>
      <c r="G488" s="2" t="s">
        <v>742</v>
      </c>
      <c r="H488" t="s">
        <v>28</v>
      </c>
      <c r="I488" t="s">
        <v>281</v>
      </c>
      <c r="J488" t="s">
        <v>282</v>
      </c>
      <c r="K488" t="s">
        <v>930</v>
      </c>
      <c r="L488" t="s">
        <v>930</v>
      </c>
      <c r="M488" t="s">
        <v>283</v>
      </c>
      <c r="N488" t="s">
        <v>68</v>
      </c>
      <c r="O488" t="s">
        <v>33</v>
      </c>
      <c r="P488" t="s">
        <v>34</v>
      </c>
      <c r="Q488">
        <v>1</v>
      </c>
      <c r="R488">
        <v>0</v>
      </c>
      <c r="S488" s="2" t="str">
        <f>IFERROR(VLOOKUP(C488,Sheet2!B:E,4,0),C488)</f>
        <v>一般产品</v>
      </c>
    </row>
    <row r="489" spans="1:19" x14ac:dyDescent="0.2">
      <c r="A489" t="s">
        <v>2460</v>
      </c>
      <c r="B489">
        <v>1849</v>
      </c>
      <c r="C489" t="s">
        <v>26</v>
      </c>
      <c r="D489" t="s">
        <v>50</v>
      </c>
      <c r="E489" t="s">
        <v>749</v>
      </c>
      <c r="F489" t="s">
        <v>2461</v>
      </c>
      <c r="G489" s="2" t="s">
        <v>2462</v>
      </c>
      <c r="H489" t="s">
        <v>18</v>
      </c>
      <c r="I489" t="s">
        <v>408</v>
      </c>
      <c r="J489" t="s">
        <v>1234</v>
      </c>
      <c r="K489" t="s">
        <v>930</v>
      </c>
      <c r="L489" t="s">
        <v>930</v>
      </c>
      <c r="M489" t="s">
        <v>1235</v>
      </c>
      <c r="N489" t="s">
        <v>55</v>
      </c>
      <c r="O489" t="s">
        <v>33</v>
      </c>
      <c r="P489" t="s">
        <v>34</v>
      </c>
      <c r="Q489">
        <v>1</v>
      </c>
      <c r="R489">
        <v>0</v>
      </c>
      <c r="S489" s="2" t="str">
        <f>IFERROR(VLOOKUP(C489,Sheet2!B:E,4,0),C489)</f>
        <v>一般产品</v>
      </c>
    </row>
    <row r="490" spans="1:19" x14ac:dyDescent="0.2">
      <c r="A490" t="s">
        <v>2463</v>
      </c>
      <c r="B490">
        <v>2598</v>
      </c>
      <c r="C490" t="s">
        <v>26</v>
      </c>
      <c r="D490" t="s">
        <v>2257</v>
      </c>
      <c r="E490" t="s">
        <v>994</v>
      </c>
      <c r="F490" t="s">
        <v>272</v>
      </c>
      <c r="G490" s="2" t="s">
        <v>273</v>
      </c>
      <c r="H490" t="s">
        <v>18</v>
      </c>
      <c r="I490" t="s">
        <v>930</v>
      </c>
      <c r="J490" t="s">
        <v>930</v>
      </c>
      <c r="K490" t="s">
        <v>274</v>
      </c>
      <c r="L490" t="s">
        <v>930</v>
      </c>
      <c r="M490" t="s">
        <v>275</v>
      </c>
      <c r="N490" t="s">
        <v>60</v>
      </c>
      <c r="O490" t="s">
        <v>72</v>
      </c>
      <c r="P490" t="s">
        <v>34</v>
      </c>
      <c r="Q490">
        <v>1</v>
      </c>
      <c r="R490">
        <v>0</v>
      </c>
      <c r="S490" s="2" t="str">
        <f>IFERROR(VLOOKUP(C490,Sheet2!B:E,4,0),C490)</f>
        <v>一般产品</v>
      </c>
    </row>
    <row r="491" spans="1:19" x14ac:dyDescent="0.2">
      <c r="A491" t="s">
        <v>2464</v>
      </c>
      <c r="B491">
        <v>3099</v>
      </c>
      <c r="C491" t="s">
        <v>589</v>
      </c>
      <c r="D491" t="s">
        <v>2257</v>
      </c>
      <c r="E491" t="s">
        <v>276</v>
      </c>
      <c r="F491" t="s">
        <v>1360</v>
      </c>
      <c r="G491" s="2" t="s">
        <v>1361</v>
      </c>
      <c r="H491" t="s">
        <v>18</v>
      </c>
      <c r="I491" t="s">
        <v>277</v>
      </c>
      <c r="J491" t="s">
        <v>278</v>
      </c>
      <c r="K491" t="s">
        <v>930</v>
      </c>
      <c r="L491" t="s">
        <v>930</v>
      </c>
      <c r="M491" t="s">
        <v>279</v>
      </c>
      <c r="N491" t="s">
        <v>44</v>
      </c>
      <c r="O491" t="s">
        <v>24</v>
      </c>
      <c r="P491" t="s">
        <v>25</v>
      </c>
      <c r="Q491">
        <v>1</v>
      </c>
      <c r="R491">
        <v>0</v>
      </c>
      <c r="S491" s="2" t="str">
        <f>IFERROR(VLOOKUP(C491,Sheet2!B:E,4,0),C491)</f>
        <v>优惠产品</v>
      </c>
    </row>
    <row r="492" spans="1:19" x14ac:dyDescent="0.2">
      <c r="A492" t="s">
        <v>2465</v>
      </c>
      <c r="B492">
        <v>2599</v>
      </c>
      <c r="C492" t="s">
        <v>26</v>
      </c>
      <c r="D492" t="s">
        <v>50</v>
      </c>
      <c r="E492" t="s">
        <v>1130</v>
      </c>
      <c r="F492" t="s">
        <v>831</v>
      </c>
      <c r="G492" s="2" t="s">
        <v>832</v>
      </c>
      <c r="H492" t="s">
        <v>18</v>
      </c>
      <c r="I492" t="s">
        <v>81</v>
      </c>
      <c r="J492" t="s">
        <v>1230</v>
      </c>
      <c r="K492" t="s">
        <v>930</v>
      </c>
      <c r="L492" t="s">
        <v>930</v>
      </c>
      <c r="M492" t="s">
        <v>1231</v>
      </c>
      <c r="N492" t="s">
        <v>68</v>
      </c>
      <c r="O492" t="s">
        <v>33</v>
      </c>
      <c r="P492" t="s">
        <v>34</v>
      </c>
      <c r="Q492">
        <v>1</v>
      </c>
      <c r="R492">
        <v>0</v>
      </c>
      <c r="S492" s="2" t="str">
        <f>IFERROR(VLOOKUP(C492,Sheet2!B:E,4,0),C492)</f>
        <v>一般产品</v>
      </c>
    </row>
    <row r="493" spans="1:19" x14ac:dyDescent="0.2">
      <c r="A493" t="s">
        <v>2466</v>
      </c>
      <c r="B493">
        <v>2200</v>
      </c>
      <c r="C493" t="s">
        <v>26</v>
      </c>
      <c r="D493" t="s">
        <v>50</v>
      </c>
      <c r="E493" t="s">
        <v>986</v>
      </c>
      <c r="F493" t="s">
        <v>987</v>
      </c>
      <c r="G493" s="2" t="s">
        <v>988</v>
      </c>
      <c r="H493" t="s">
        <v>18</v>
      </c>
      <c r="I493" t="s">
        <v>207</v>
      </c>
      <c r="J493" t="s">
        <v>208</v>
      </c>
      <c r="K493" t="s">
        <v>930</v>
      </c>
      <c r="L493" t="s">
        <v>930</v>
      </c>
      <c r="M493" t="s">
        <v>209</v>
      </c>
      <c r="N493" t="s">
        <v>32</v>
      </c>
      <c r="O493" t="s">
        <v>33</v>
      </c>
      <c r="P493" t="s">
        <v>34</v>
      </c>
      <c r="Q493">
        <v>1</v>
      </c>
      <c r="R493">
        <v>0</v>
      </c>
      <c r="S493" s="2" t="str">
        <f>IFERROR(VLOOKUP(C493,Sheet2!B:E,4,0),C493)</f>
        <v>一般产品</v>
      </c>
    </row>
    <row r="494" spans="1:19" x14ac:dyDescent="0.2">
      <c r="A494" t="s">
        <v>2467</v>
      </c>
      <c r="B494">
        <v>3498</v>
      </c>
      <c r="C494" t="s">
        <v>19</v>
      </c>
      <c r="D494" t="s">
        <v>972</v>
      </c>
      <c r="E494" t="s">
        <v>2468</v>
      </c>
      <c r="F494" t="s">
        <v>1161</v>
      </c>
      <c r="G494" s="2" t="s">
        <v>1162</v>
      </c>
      <c r="H494" t="s">
        <v>18</v>
      </c>
      <c r="I494" t="s">
        <v>74</v>
      </c>
      <c r="J494" t="s">
        <v>75</v>
      </c>
      <c r="K494" t="s">
        <v>930</v>
      </c>
      <c r="L494" t="s">
        <v>930</v>
      </c>
      <c r="M494" t="s">
        <v>938</v>
      </c>
      <c r="N494" t="s">
        <v>44</v>
      </c>
      <c r="O494" t="s">
        <v>24</v>
      </c>
      <c r="P494" t="s">
        <v>25</v>
      </c>
      <c r="Q494">
        <v>1</v>
      </c>
      <c r="R494">
        <v>0</v>
      </c>
      <c r="S494" s="2" t="str">
        <f>IFERROR(VLOOKUP(C494,Sheet2!B:E,4,0),C494)</f>
        <v>优惠产品</v>
      </c>
    </row>
    <row r="495" spans="1:19" x14ac:dyDescent="0.2">
      <c r="A495" t="s">
        <v>2469</v>
      </c>
      <c r="B495">
        <v>3998</v>
      </c>
      <c r="C495" t="s">
        <v>575</v>
      </c>
      <c r="D495" t="s">
        <v>970</v>
      </c>
      <c r="E495" t="s">
        <v>2470</v>
      </c>
      <c r="F495" t="s">
        <v>1216</v>
      </c>
      <c r="G495" s="2" t="s">
        <v>1217</v>
      </c>
      <c r="H495" t="s">
        <v>18</v>
      </c>
      <c r="I495" t="s">
        <v>930</v>
      </c>
      <c r="J495" t="s">
        <v>930</v>
      </c>
      <c r="K495" t="s">
        <v>1376</v>
      </c>
      <c r="L495" t="s">
        <v>930</v>
      </c>
      <c r="M495" t="s">
        <v>1377</v>
      </c>
      <c r="N495" t="s">
        <v>136</v>
      </c>
      <c r="O495" t="s">
        <v>95</v>
      </c>
      <c r="P495" t="s">
        <v>90</v>
      </c>
      <c r="Q495">
        <v>1</v>
      </c>
      <c r="R495">
        <v>0</v>
      </c>
      <c r="S495" s="2" t="str">
        <f>IFERROR(VLOOKUP(C495,Sheet2!B:E,4,0),C495)</f>
        <v>优惠产品</v>
      </c>
    </row>
    <row r="496" spans="1:19" x14ac:dyDescent="0.2">
      <c r="A496" t="s">
        <v>2471</v>
      </c>
      <c r="B496">
        <v>3000</v>
      </c>
      <c r="C496" t="s">
        <v>575</v>
      </c>
      <c r="D496" t="s">
        <v>726</v>
      </c>
      <c r="E496" t="s">
        <v>2472</v>
      </c>
      <c r="F496" t="s">
        <v>1387</v>
      </c>
      <c r="G496" s="2" t="s">
        <v>1388</v>
      </c>
      <c r="H496" t="s">
        <v>18</v>
      </c>
      <c r="I496" t="s">
        <v>930</v>
      </c>
      <c r="J496" t="s">
        <v>930</v>
      </c>
      <c r="K496" t="s">
        <v>115</v>
      </c>
      <c r="L496" t="s">
        <v>930</v>
      </c>
      <c r="M496" t="s">
        <v>116</v>
      </c>
      <c r="N496" t="s">
        <v>45</v>
      </c>
      <c r="O496" t="s">
        <v>117</v>
      </c>
      <c r="P496" t="s">
        <v>34</v>
      </c>
      <c r="Q496">
        <v>1</v>
      </c>
      <c r="R496">
        <v>0</v>
      </c>
      <c r="S496" s="2" t="str">
        <f>IFERROR(VLOOKUP(C496,Sheet2!B:E,4,0),C496)</f>
        <v>优惠产品</v>
      </c>
    </row>
    <row r="497" spans="1:19" x14ac:dyDescent="0.2">
      <c r="A497" t="s">
        <v>2473</v>
      </c>
      <c r="B497">
        <v>2799</v>
      </c>
      <c r="C497" t="s">
        <v>26</v>
      </c>
      <c r="D497" t="s">
        <v>50</v>
      </c>
      <c r="E497" t="s">
        <v>790</v>
      </c>
      <c r="F497" t="s">
        <v>1374</v>
      </c>
      <c r="G497" s="2" t="s">
        <v>1375</v>
      </c>
      <c r="H497" t="s">
        <v>18</v>
      </c>
      <c r="I497" t="s">
        <v>159</v>
      </c>
      <c r="J497" t="s">
        <v>160</v>
      </c>
      <c r="K497" t="s">
        <v>930</v>
      </c>
      <c r="L497" t="s">
        <v>930</v>
      </c>
      <c r="M497" t="s">
        <v>161</v>
      </c>
      <c r="N497" t="s">
        <v>55</v>
      </c>
      <c r="O497" t="s">
        <v>33</v>
      </c>
      <c r="P497" t="s">
        <v>34</v>
      </c>
      <c r="Q497">
        <v>1</v>
      </c>
      <c r="R497">
        <v>0</v>
      </c>
      <c r="S497" s="2" t="str">
        <f>IFERROR(VLOOKUP(C497,Sheet2!B:E,4,0),C497)</f>
        <v>一般产品</v>
      </c>
    </row>
    <row r="498" spans="1:19" x14ac:dyDescent="0.2">
      <c r="A498" t="s">
        <v>2474</v>
      </c>
      <c r="B498">
        <v>2299</v>
      </c>
      <c r="C498" t="s">
        <v>589</v>
      </c>
      <c r="D498" t="s">
        <v>50</v>
      </c>
      <c r="E498" t="s">
        <v>1149</v>
      </c>
      <c r="F498" t="s">
        <v>585</v>
      </c>
      <c r="G498" s="2" t="s">
        <v>586</v>
      </c>
      <c r="H498" t="s">
        <v>18</v>
      </c>
      <c r="I498" t="s">
        <v>191</v>
      </c>
      <c r="J498" t="s">
        <v>192</v>
      </c>
      <c r="K498" t="s">
        <v>930</v>
      </c>
      <c r="L498" t="s">
        <v>930</v>
      </c>
      <c r="M498" t="s">
        <v>193</v>
      </c>
      <c r="N498" t="s">
        <v>194</v>
      </c>
      <c r="O498" t="s">
        <v>24</v>
      </c>
      <c r="P498" t="s">
        <v>25</v>
      </c>
      <c r="Q498">
        <v>1</v>
      </c>
      <c r="R498">
        <v>0</v>
      </c>
      <c r="S498" s="2" t="str">
        <f>IFERROR(VLOOKUP(C498,Sheet2!B:E,4,0),C498)</f>
        <v>优惠产品</v>
      </c>
    </row>
    <row r="499" spans="1:19" x14ac:dyDescent="0.2">
      <c r="A499" t="s">
        <v>2475</v>
      </c>
      <c r="B499">
        <v>2300</v>
      </c>
      <c r="C499" t="s">
        <v>26</v>
      </c>
      <c r="D499" t="s">
        <v>50</v>
      </c>
      <c r="E499" t="s">
        <v>1586</v>
      </c>
      <c r="F499" t="s">
        <v>1165</v>
      </c>
      <c r="G499" s="2" t="s">
        <v>1166</v>
      </c>
      <c r="H499" t="s">
        <v>18</v>
      </c>
      <c r="I499" t="s">
        <v>221</v>
      </c>
      <c r="J499" t="s">
        <v>222</v>
      </c>
      <c r="K499" t="s">
        <v>930</v>
      </c>
      <c r="L499" t="s">
        <v>930</v>
      </c>
      <c r="M499" t="s">
        <v>223</v>
      </c>
      <c r="N499" t="s">
        <v>55</v>
      </c>
      <c r="O499" t="s">
        <v>33</v>
      </c>
      <c r="P499" t="s">
        <v>34</v>
      </c>
      <c r="Q499">
        <v>1</v>
      </c>
      <c r="R499">
        <v>0</v>
      </c>
      <c r="S499" s="2" t="str">
        <f>IFERROR(VLOOKUP(C499,Sheet2!B:E,4,0),C499)</f>
        <v>一般产品</v>
      </c>
    </row>
    <row r="500" spans="1:19" x14ac:dyDescent="0.2">
      <c r="A500" t="s">
        <v>2476</v>
      </c>
      <c r="B500">
        <v>2800</v>
      </c>
      <c r="C500" t="s">
        <v>26</v>
      </c>
      <c r="D500" t="s">
        <v>50</v>
      </c>
      <c r="E500" t="s">
        <v>2437</v>
      </c>
      <c r="F500" t="s">
        <v>2438</v>
      </c>
      <c r="G500" s="2" t="s">
        <v>2439</v>
      </c>
      <c r="H500" t="s">
        <v>18</v>
      </c>
      <c r="I500" t="s">
        <v>56</v>
      </c>
      <c r="J500" t="s">
        <v>57</v>
      </c>
      <c r="K500" t="s">
        <v>930</v>
      </c>
      <c r="L500" t="s">
        <v>930</v>
      </c>
      <c r="M500" t="s">
        <v>58</v>
      </c>
      <c r="N500" t="s">
        <v>108</v>
      </c>
      <c r="O500" t="s">
        <v>33</v>
      </c>
      <c r="P500" t="s">
        <v>34</v>
      </c>
      <c r="Q500">
        <v>1</v>
      </c>
      <c r="R500">
        <v>0</v>
      </c>
      <c r="S500" s="2" t="str">
        <f>IFERROR(VLOOKUP(C500,Sheet2!B:E,4,0),C500)</f>
        <v>一般产品</v>
      </c>
    </row>
    <row r="501" spans="1:19" x14ac:dyDescent="0.2">
      <c r="A501" t="s">
        <v>2477</v>
      </c>
      <c r="B501">
        <v>2999</v>
      </c>
      <c r="C501" t="s">
        <v>26</v>
      </c>
      <c r="D501" t="s">
        <v>971</v>
      </c>
      <c r="E501" t="s">
        <v>2478</v>
      </c>
      <c r="F501" t="s">
        <v>1265</v>
      </c>
      <c r="G501" s="2" t="s">
        <v>1266</v>
      </c>
      <c r="H501" t="s">
        <v>18</v>
      </c>
      <c r="I501" t="s">
        <v>934</v>
      </c>
      <c r="J501" t="s">
        <v>935</v>
      </c>
      <c r="K501" t="s">
        <v>930</v>
      </c>
      <c r="L501" t="s">
        <v>930</v>
      </c>
      <c r="M501" t="s">
        <v>936</v>
      </c>
      <c r="N501" t="s">
        <v>45</v>
      </c>
      <c r="O501" t="s">
        <v>48</v>
      </c>
      <c r="P501" t="s">
        <v>49</v>
      </c>
      <c r="Q501">
        <v>1</v>
      </c>
      <c r="R501">
        <v>0</v>
      </c>
      <c r="S501" s="2" t="str">
        <f>IFERROR(VLOOKUP(C501,Sheet2!B:E,4,0),C501)</f>
        <v>一般产品</v>
      </c>
    </row>
    <row r="502" spans="1:19" x14ac:dyDescent="0.2">
      <c r="A502" t="s">
        <v>2479</v>
      </c>
      <c r="B502">
        <v>3699</v>
      </c>
      <c r="C502" t="s">
        <v>26</v>
      </c>
      <c r="D502" t="s">
        <v>2257</v>
      </c>
      <c r="E502" t="s">
        <v>1240</v>
      </c>
      <c r="F502" t="s">
        <v>1241</v>
      </c>
      <c r="G502" s="2" t="s">
        <v>1242</v>
      </c>
      <c r="H502" t="s">
        <v>18</v>
      </c>
      <c r="I502" t="s">
        <v>167</v>
      </c>
      <c r="J502" t="s">
        <v>168</v>
      </c>
      <c r="K502" t="s">
        <v>930</v>
      </c>
      <c r="L502" t="s">
        <v>930</v>
      </c>
      <c r="M502" t="s">
        <v>937</v>
      </c>
      <c r="N502" t="s">
        <v>68</v>
      </c>
      <c r="O502" t="s">
        <v>33</v>
      </c>
      <c r="P502" t="s">
        <v>34</v>
      </c>
      <c r="Q502">
        <v>1</v>
      </c>
      <c r="R502">
        <v>0</v>
      </c>
      <c r="S502" s="2" t="str">
        <f>IFERROR(VLOOKUP(C502,Sheet2!B:E,4,0),C502)</f>
        <v>一般产品</v>
      </c>
    </row>
    <row r="503" spans="1:19" x14ac:dyDescent="0.2">
      <c r="A503" t="s">
        <v>2480</v>
      </c>
      <c r="B503">
        <v>3000</v>
      </c>
      <c r="C503" t="s">
        <v>26</v>
      </c>
      <c r="D503" t="s">
        <v>50</v>
      </c>
      <c r="E503" t="s">
        <v>1450</v>
      </c>
      <c r="F503" t="s">
        <v>1501</v>
      </c>
      <c r="G503" s="2" t="s">
        <v>1502</v>
      </c>
      <c r="H503" t="s">
        <v>18</v>
      </c>
      <c r="I503" t="s">
        <v>255</v>
      </c>
      <c r="J503" t="s">
        <v>256</v>
      </c>
      <c r="K503" t="s">
        <v>930</v>
      </c>
      <c r="L503" t="s">
        <v>930</v>
      </c>
      <c r="M503" t="s">
        <v>257</v>
      </c>
      <c r="N503" t="s">
        <v>47</v>
      </c>
      <c r="O503" t="s">
        <v>33</v>
      </c>
      <c r="P503" t="s">
        <v>34</v>
      </c>
      <c r="Q503">
        <v>1</v>
      </c>
      <c r="R503">
        <v>0</v>
      </c>
      <c r="S503" s="2" t="str">
        <f>IFERROR(VLOOKUP(C503,Sheet2!B:E,4,0),C503)</f>
        <v>一般产品</v>
      </c>
    </row>
    <row r="504" spans="1:19" x14ac:dyDescent="0.2">
      <c r="A504" t="s">
        <v>2481</v>
      </c>
      <c r="B504">
        <v>2799</v>
      </c>
      <c r="C504" t="s">
        <v>26</v>
      </c>
      <c r="D504" t="s">
        <v>50</v>
      </c>
      <c r="E504" t="s">
        <v>1316</v>
      </c>
      <c r="F504" t="s">
        <v>1084</v>
      </c>
      <c r="G504" s="2" t="s">
        <v>1085</v>
      </c>
      <c r="H504" t="s">
        <v>28</v>
      </c>
      <c r="I504" t="s">
        <v>107</v>
      </c>
      <c r="J504" t="s">
        <v>1046</v>
      </c>
      <c r="K504" t="s">
        <v>930</v>
      </c>
      <c r="L504" t="s">
        <v>930</v>
      </c>
      <c r="M504" t="s">
        <v>1047</v>
      </c>
      <c r="N504" t="s">
        <v>108</v>
      </c>
      <c r="O504" t="s">
        <v>33</v>
      </c>
      <c r="P504" t="s">
        <v>34</v>
      </c>
      <c r="Q504">
        <v>1</v>
      </c>
      <c r="R504">
        <v>0</v>
      </c>
      <c r="S504" s="2" t="str">
        <f>IFERROR(VLOOKUP(C504,Sheet2!B:E,4,0),C504)</f>
        <v>一般产品</v>
      </c>
    </row>
    <row r="505" spans="1:19" x14ac:dyDescent="0.2">
      <c r="A505" t="s">
        <v>2482</v>
      </c>
      <c r="B505">
        <v>2998</v>
      </c>
      <c r="C505" t="s">
        <v>26</v>
      </c>
      <c r="D505" t="s">
        <v>2257</v>
      </c>
      <c r="E505" t="s">
        <v>2483</v>
      </c>
      <c r="F505" t="s">
        <v>849</v>
      </c>
      <c r="G505" s="2" t="s">
        <v>850</v>
      </c>
      <c r="H505" t="s">
        <v>18</v>
      </c>
      <c r="I505" t="s">
        <v>81</v>
      </c>
      <c r="J505" t="s">
        <v>1230</v>
      </c>
      <c r="K505" t="s">
        <v>930</v>
      </c>
      <c r="L505" t="s">
        <v>930</v>
      </c>
      <c r="M505" t="s">
        <v>1231</v>
      </c>
      <c r="N505" t="s">
        <v>68</v>
      </c>
      <c r="O505" t="s">
        <v>33</v>
      </c>
      <c r="P505" t="s">
        <v>34</v>
      </c>
      <c r="Q505">
        <v>1</v>
      </c>
      <c r="R505">
        <v>0</v>
      </c>
      <c r="S505" s="2" t="str">
        <f>IFERROR(VLOOKUP(C505,Sheet2!B:E,4,0),C505)</f>
        <v>一般产品</v>
      </c>
    </row>
    <row r="506" spans="1:19" x14ac:dyDescent="0.2">
      <c r="A506" t="s">
        <v>2484</v>
      </c>
      <c r="B506">
        <v>3099</v>
      </c>
      <c r="C506" t="s">
        <v>575</v>
      </c>
      <c r="D506" t="s">
        <v>50</v>
      </c>
      <c r="E506" t="s">
        <v>1290</v>
      </c>
      <c r="F506" t="s">
        <v>1012</v>
      </c>
      <c r="G506" s="2" t="s">
        <v>1013</v>
      </c>
      <c r="H506" t="s">
        <v>28</v>
      </c>
      <c r="I506" t="s">
        <v>450</v>
      </c>
      <c r="J506" t="s">
        <v>451</v>
      </c>
      <c r="K506" t="s">
        <v>930</v>
      </c>
      <c r="L506" t="s">
        <v>930</v>
      </c>
      <c r="M506" t="s">
        <v>939</v>
      </c>
      <c r="N506" t="s">
        <v>124</v>
      </c>
      <c r="O506" t="s">
        <v>117</v>
      </c>
      <c r="P506" t="s">
        <v>34</v>
      </c>
      <c r="Q506">
        <v>1</v>
      </c>
      <c r="R506">
        <v>0</v>
      </c>
      <c r="S506" s="2" t="str">
        <f>IFERROR(VLOOKUP(C506,Sheet2!B:E,4,0),C506)</f>
        <v>优惠产品</v>
      </c>
    </row>
    <row r="507" spans="1:19" x14ac:dyDescent="0.2">
      <c r="A507" t="s">
        <v>2485</v>
      </c>
      <c r="B507">
        <v>2800</v>
      </c>
      <c r="C507" t="s">
        <v>580</v>
      </c>
      <c r="D507" t="s">
        <v>50</v>
      </c>
      <c r="E507" t="s">
        <v>2486</v>
      </c>
      <c r="F507" t="s">
        <v>2487</v>
      </c>
      <c r="G507" s="2" t="s">
        <v>2488</v>
      </c>
      <c r="H507" t="s">
        <v>18</v>
      </c>
      <c r="I507" t="s">
        <v>421</v>
      </c>
      <c r="J507" t="s">
        <v>422</v>
      </c>
      <c r="K507" t="s">
        <v>930</v>
      </c>
      <c r="L507" t="s">
        <v>930</v>
      </c>
      <c r="M507" t="s">
        <v>423</v>
      </c>
      <c r="N507" t="s">
        <v>68</v>
      </c>
      <c r="O507" t="s">
        <v>33</v>
      </c>
      <c r="P507" t="s">
        <v>34</v>
      </c>
      <c r="Q507">
        <v>1</v>
      </c>
      <c r="R507">
        <v>0</v>
      </c>
      <c r="S507" s="2" t="str">
        <f>IFERROR(VLOOKUP(C507,Sheet2!B:E,4,0),C507)</f>
        <v>10期贷</v>
      </c>
    </row>
    <row r="508" spans="1:19" x14ac:dyDescent="0.2">
      <c r="A508" t="s">
        <v>2489</v>
      </c>
      <c r="B508">
        <v>3199</v>
      </c>
      <c r="C508" t="s">
        <v>575</v>
      </c>
      <c r="D508" t="s">
        <v>971</v>
      </c>
      <c r="E508" t="s">
        <v>2490</v>
      </c>
      <c r="F508" t="s">
        <v>1304</v>
      </c>
      <c r="G508" s="2" t="s">
        <v>1305</v>
      </c>
      <c r="H508" t="s">
        <v>18</v>
      </c>
      <c r="I508" t="s">
        <v>304</v>
      </c>
      <c r="J508" t="s">
        <v>305</v>
      </c>
      <c r="K508" t="s">
        <v>930</v>
      </c>
      <c r="L508" t="s">
        <v>930</v>
      </c>
      <c r="M508" t="s">
        <v>306</v>
      </c>
      <c r="N508" t="s">
        <v>73</v>
      </c>
      <c r="O508" t="s">
        <v>24</v>
      </c>
      <c r="P508" t="s">
        <v>25</v>
      </c>
      <c r="Q508">
        <v>1</v>
      </c>
      <c r="R508">
        <v>0</v>
      </c>
      <c r="S508" s="2" t="str">
        <f>IFERROR(VLOOKUP(C508,Sheet2!B:E,4,0),C508)</f>
        <v>优惠产品</v>
      </c>
    </row>
    <row r="509" spans="1:19" x14ac:dyDescent="0.2">
      <c r="A509" t="s">
        <v>2491</v>
      </c>
      <c r="B509">
        <v>1200</v>
      </c>
      <c r="C509" t="s">
        <v>26</v>
      </c>
      <c r="D509" t="s">
        <v>2257</v>
      </c>
      <c r="E509" t="s">
        <v>2492</v>
      </c>
      <c r="F509" t="s">
        <v>2493</v>
      </c>
      <c r="G509" s="2" t="s">
        <v>2494</v>
      </c>
      <c r="H509" t="s">
        <v>18</v>
      </c>
      <c r="I509" t="s">
        <v>366</v>
      </c>
      <c r="J509" t="s">
        <v>367</v>
      </c>
      <c r="K509" t="s">
        <v>930</v>
      </c>
      <c r="L509" t="s">
        <v>930</v>
      </c>
      <c r="M509" t="s">
        <v>368</v>
      </c>
      <c r="N509" t="s">
        <v>47</v>
      </c>
      <c r="O509" t="s">
        <v>33</v>
      </c>
      <c r="P509" t="s">
        <v>34</v>
      </c>
      <c r="Q509">
        <v>1</v>
      </c>
      <c r="R509">
        <v>0</v>
      </c>
      <c r="S509" s="2" t="str">
        <f>IFERROR(VLOOKUP(C509,Sheet2!B:E,4,0),C509)</f>
        <v>一般产品</v>
      </c>
    </row>
    <row r="510" spans="1:19" x14ac:dyDescent="0.2">
      <c r="A510" t="s">
        <v>2495</v>
      </c>
      <c r="B510">
        <v>3298</v>
      </c>
      <c r="C510" t="s">
        <v>26</v>
      </c>
      <c r="D510" t="s">
        <v>971</v>
      </c>
      <c r="E510" t="s">
        <v>2340</v>
      </c>
      <c r="F510" t="s">
        <v>1118</v>
      </c>
      <c r="G510" s="2" t="s">
        <v>1119</v>
      </c>
      <c r="H510" t="s">
        <v>28</v>
      </c>
      <c r="I510" t="s">
        <v>147</v>
      </c>
      <c r="J510" t="s">
        <v>148</v>
      </c>
      <c r="K510" t="s">
        <v>930</v>
      </c>
      <c r="L510" t="s">
        <v>930</v>
      </c>
      <c r="M510" t="s">
        <v>149</v>
      </c>
      <c r="N510" t="s">
        <v>73</v>
      </c>
      <c r="O510" t="s">
        <v>24</v>
      </c>
      <c r="P510" t="s">
        <v>25</v>
      </c>
      <c r="Q510">
        <v>1</v>
      </c>
      <c r="R510">
        <v>0</v>
      </c>
      <c r="S510" s="2" t="str">
        <f>IFERROR(VLOOKUP(C510,Sheet2!B:E,4,0),C510)</f>
        <v>一般产品</v>
      </c>
    </row>
    <row r="511" spans="1:19" x14ac:dyDescent="0.2">
      <c r="A511" t="s">
        <v>2496</v>
      </c>
      <c r="B511">
        <v>3500</v>
      </c>
      <c r="C511" t="s">
        <v>575</v>
      </c>
      <c r="D511" t="s">
        <v>726</v>
      </c>
      <c r="E511" t="s">
        <v>2497</v>
      </c>
      <c r="F511" t="s">
        <v>947</v>
      </c>
      <c r="G511" s="2" t="s">
        <v>948</v>
      </c>
      <c r="H511" t="s">
        <v>18</v>
      </c>
      <c r="I511" t="s">
        <v>930</v>
      </c>
      <c r="J511" t="s">
        <v>930</v>
      </c>
      <c r="K511" t="s">
        <v>756</v>
      </c>
      <c r="L511" t="s">
        <v>930</v>
      </c>
      <c r="M511" t="s">
        <v>757</v>
      </c>
      <c r="N511" t="s">
        <v>62</v>
      </c>
      <c r="O511" t="s">
        <v>117</v>
      </c>
      <c r="P511" t="s">
        <v>34</v>
      </c>
      <c r="Q511">
        <v>1</v>
      </c>
      <c r="R511">
        <v>0</v>
      </c>
      <c r="S511" s="2" t="str">
        <f>IFERROR(VLOOKUP(C511,Sheet2!B:E,4,0),C511)</f>
        <v>优惠产品</v>
      </c>
    </row>
    <row r="512" spans="1:19" x14ac:dyDescent="0.2">
      <c r="A512" t="s">
        <v>2498</v>
      </c>
      <c r="B512">
        <v>2900</v>
      </c>
      <c r="C512" t="s">
        <v>26</v>
      </c>
      <c r="D512" t="s">
        <v>971</v>
      </c>
      <c r="E512" t="s">
        <v>2499</v>
      </c>
      <c r="F512" t="s">
        <v>540</v>
      </c>
      <c r="G512" s="2" t="s">
        <v>541</v>
      </c>
      <c r="H512" t="s">
        <v>18</v>
      </c>
      <c r="I512" t="s">
        <v>260</v>
      </c>
      <c r="J512" t="s">
        <v>261</v>
      </c>
      <c r="K512" t="s">
        <v>930</v>
      </c>
      <c r="L512" t="s">
        <v>930</v>
      </c>
      <c r="M512" t="s">
        <v>262</v>
      </c>
      <c r="N512" t="s">
        <v>45</v>
      </c>
      <c r="O512" t="s">
        <v>48</v>
      </c>
      <c r="P512" t="s">
        <v>49</v>
      </c>
      <c r="Q512">
        <v>1</v>
      </c>
      <c r="R512">
        <v>0</v>
      </c>
      <c r="S512" s="2" t="str">
        <f>IFERROR(VLOOKUP(C512,Sheet2!B:E,4,0),C512)</f>
        <v>一般产品</v>
      </c>
    </row>
    <row r="513" spans="1:19" x14ac:dyDescent="0.2">
      <c r="A513" t="s">
        <v>2500</v>
      </c>
      <c r="B513">
        <v>3500</v>
      </c>
      <c r="C513" t="s">
        <v>26</v>
      </c>
      <c r="D513" t="s">
        <v>2257</v>
      </c>
      <c r="E513" t="s">
        <v>2501</v>
      </c>
      <c r="F513" t="s">
        <v>1285</v>
      </c>
      <c r="G513" s="2" t="s">
        <v>1286</v>
      </c>
      <c r="H513" t="s">
        <v>18</v>
      </c>
      <c r="I513" t="s">
        <v>167</v>
      </c>
      <c r="J513" t="s">
        <v>168</v>
      </c>
      <c r="K513" t="s">
        <v>930</v>
      </c>
      <c r="L513" t="s">
        <v>930</v>
      </c>
      <c r="M513" t="s">
        <v>937</v>
      </c>
      <c r="N513" t="s">
        <v>68</v>
      </c>
      <c r="O513" t="s">
        <v>33</v>
      </c>
      <c r="P513" t="s">
        <v>34</v>
      </c>
      <c r="Q513">
        <v>1</v>
      </c>
      <c r="R513">
        <v>0</v>
      </c>
      <c r="S513" s="2" t="str">
        <f>IFERROR(VLOOKUP(C513,Sheet2!B:E,4,0),C513)</f>
        <v>一般产品</v>
      </c>
    </row>
    <row r="514" spans="1:19" x14ac:dyDescent="0.2">
      <c r="A514" t="s">
        <v>2502</v>
      </c>
      <c r="B514">
        <v>1699</v>
      </c>
      <c r="C514" t="s">
        <v>26</v>
      </c>
      <c r="D514" t="s">
        <v>50</v>
      </c>
      <c r="E514" t="s">
        <v>2503</v>
      </c>
      <c r="F514" t="s">
        <v>386</v>
      </c>
      <c r="G514" s="2" t="s">
        <v>387</v>
      </c>
      <c r="H514" t="s">
        <v>18</v>
      </c>
      <c r="I514" t="s">
        <v>133</v>
      </c>
      <c r="J514" t="s">
        <v>134</v>
      </c>
      <c r="K514" t="s">
        <v>930</v>
      </c>
      <c r="L514" t="s">
        <v>930</v>
      </c>
      <c r="M514" t="s">
        <v>135</v>
      </c>
      <c r="N514" t="s">
        <v>73</v>
      </c>
      <c r="O514" t="s">
        <v>24</v>
      </c>
      <c r="P514" t="s">
        <v>25</v>
      </c>
      <c r="Q514">
        <v>1</v>
      </c>
      <c r="R514">
        <v>0</v>
      </c>
      <c r="S514" s="2" t="str">
        <f>IFERROR(VLOOKUP(C514,Sheet2!B:E,4,0),C514)</f>
        <v>一般产品</v>
      </c>
    </row>
    <row r="515" spans="1:19" x14ac:dyDescent="0.2">
      <c r="A515" t="s">
        <v>2504</v>
      </c>
      <c r="B515">
        <v>3040</v>
      </c>
      <c r="C515" t="s">
        <v>26</v>
      </c>
      <c r="D515" t="s">
        <v>50</v>
      </c>
      <c r="E515" t="s">
        <v>1297</v>
      </c>
      <c r="F515" t="s">
        <v>2130</v>
      </c>
      <c r="G515" s="2" t="s">
        <v>2131</v>
      </c>
      <c r="H515" t="s">
        <v>18</v>
      </c>
      <c r="I515" t="s">
        <v>56</v>
      </c>
      <c r="J515" t="s">
        <v>57</v>
      </c>
      <c r="K515" t="s">
        <v>930</v>
      </c>
      <c r="L515" t="s">
        <v>930</v>
      </c>
      <c r="M515" t="s">
        <v>58</v>
      </c>
      <c r="N515" t="s">
        <v>108</v>
      </c>
      <c r="O515" t="s">
        <v>33</v>
      </c>
      <c r="P515" t="s">
        <v>34</v>
      </c>
      <c r="Q515">
        <v>1</v>
      </c>
      <c r="R515">
        <v>0</v>
      </c>
      <c r="S515" s="2" t="str">
        <f>IFERROR(VLOOKUP(C515,Sheet2!B:E,4,0),C515)</f>
        <v>一般产品</v>
      </c>
    </row>
    <row r="516" spans="1:19" x14ac:dyDescent="0.2">
      <c r="A516" t="s">
        <v>2505</v>
      </c>
      <c r="B516">
        <v>2500</v>
      </c>
      <c r="C516" t="s">
        <v>26</v>
      </c>
      <c r="D516" t="s">
        <v>50</v>
      </c>
      <c r="E516" t="s">
        <v>1081</v>
      </c>
      <c r="F516" t="s">
        <v>645</v>
      </c>
      <c r="G516" s="2" t="s">
        <v>646</v>
      </c>
      <c r="H516" t="s">
        <v>18</v>
      </c>
      <c r="I516" t="s">
        <v>52</v>
      </c>
      <c r="J516" t="s">
        <v>53</v>
      </c>
      <c r="K516" t="s">
        <v>930</v>
      </c>
      <c r="L516" t="s">
        <v>930</v>
      </c>
      <c r="M516" t="s">
        <v>54</v>
      </c>
      <c r="N516" t="s">
        <v>55</v>
      </c>
      <c r="O516" t="s">
        <v>33</v>
      </c>
      <c r="P516" t="s">
        <v>34</v>
      </c>
      <c r="Q516">
        <v>1</v>
      </c>
      <c r="R516">
        <v>0</v>
      </c>
      <c r="S516" s="2" t="str">
        <f>IFERROR(VLOOKUP(C516,Sheet2!B:E,4,0),C516)</f>
        <v>一般产品</v>
      </c>
    </row>
    <row r="517" spans="1:19" x14ac:dyDescent="0.2">
      <c r="A517" t="s">
        <v>2506</v>
      </c>
      <c r="B517">
        <v>3498</v>
      </c>
      <c r="C517" t="s">
        <v>26</v>
      </c>
      <c r="D517" t="s">
        <v>2257</v>
      </c>
      <c r="E517" t="s">
        <v>2507</v>
      </c>
      <c r="F517" t="s">
        <v>2508</v>
      </c>
      <c r="G517" s="2" t="s">
        <v>2509</v>
      </c>
      <c r="H517" t="s">
        <v>18</v>
      </c>
      <c r="I517" t="s">
        <v>930</v>
      </c>
      <c r="J517" t="s">
        <v>930</v>
      </c>
      <c r="K517" t="s">
        <v>463</v>
      </c>
      <c r="L517" t="s">
        <v>930</v>
      </c>
      <c r="M517" t="s">
        <v>464</v>
      </c>
      <c r="N517" t="s">
        <v>60</v>
      </c>
      <c r="O517" t="s">
        <v>72</v>
      </c>
      <c r="P517" t="s">
        <v>34</v>
      </c>
      <c r="Q517">
        <v>1</v>
      </c>
      <c r="R517">
        <v>0</v>
      </c>
      <c r="S517" s="2" t="str">
        <f>IFERROR(VLOOKUP(C517,Sheet2!B:E,4,0),C517)</f>
        <v>一般产品</v>
      </c>
    </row>
    <row r="518" spans="1:19" x14ac:dyDescent="0.2">
      <c r="A518" t="s">
        <v>2510</v>
      </c>
      <c r="B518">
        <v>6000</v>
      </c>
      <c r="C518" t="s">
        <v>26</v>
      </c>
      <c r="D518" t="s">
        <v>50</v>
      </c>
      <c r="E518" t="s">
        <v>954</v>
      </c>
      <c r="F518" t="s">
        <v>258</v>
      </c>
      <c r="G518" s="2" t="s">
        <v>259</v>
      </c>
      <c r="H518" t="s">
        <v>28</v>
      </c>
      <c r="I518" t="s">
        <v>82</v>
      </c>
      <c r="J518" t="s">
        <v>83</v>
      </c>
      <c r="K518" t="s">
        <v>930</v>
      </c>
      <c r="L518" t="s">
        <v>930</v>
      </c>
      <c r="M518" t="s">
        <v>84</v>
      </c>
      <c r="N518" t="s">
        <v>85</v>
      </c>
      <c r="O518" t="s">
        <v>33</v>
      </c>
      <c r="P518" t="s">
        <v>34</v>
      </c>
      <c r="Q518">
        <v>1</v>
      </c>
      <c r="R518">
        <v>0</v>
      </c>
      <c r="S518" s="2" t="str">
        <f>IFERROR(VLOOKUP(C518,Sheet2!B:E,4,0),C518)</f>
        <v>一般产品</v>
      </c>
    </row>
    <row r="519" spans="1:19" x14ac:dyDescent="0.2">
      <c r="A519" t="s">
        <v>2511</v>
      </c>
      <c r="B519">
        <v>1798</v>
      </c>
      <c r="C519" t="s">
        <v>575</v>
      </c>
      <c r="D519" t="s">
        <v>971</v>
      </c>
      <c r="E519" t="s">
        <v>2512</v>
      </c>
      <c r="F519" t="s">
        <v>989</v>
      </c>
      <c r="G519" s="2" t="s">
        <v>990</v>
      </c>
      <c r="H519" t="s">
        <v>18</v>
      </c>
      <c r="I519" t="s">
        <v>169</v>
      </c>
      <c r="J519" t="s">
        <v>170</v>
      </c>
      <c r="K519" t="s">
        <v>930</v>
      </c>
      <c r="L519" t="s">
        <v>930</v>
      </c>
      <c r="M519" t="s">
        <v>171</v>
      </c>
      <c r="N519" t="s">
        <v>38</v>
      </c>
      <c r="O519" t="s">
        <v>39</v>
      </c>
      <c r="P519" t="s">
        <v>25</v>
      </c>
      <c r="Q519">
        <v>1</v>
      </c>
      <c r="R519">
        <v>0</v>
      </c>
      <c r="S519" s="2" t="str">
        <f>IFERROR(VLOOKUP(C519,Sheet2!B:E,4,0),C519)</f>
        <v>优惠产品</v>
      </c>
    </row>
    <row r="520" spans="1:19" x14ac:dyDescent="0.2">
      <c r="A520" t="s">
        <v>2513</v>
      </c>
      <c r="B520">
        <v>3198</v>
      </c>
      <c r="C520" t="s">
        <v>26</v>
      </c>
      <c r="D520" t="s">
        <v>971</v>
      </c>
      <c r="E520" t="s">
        <v>2514</v>
      </c>
      <c r="F520" t="s">
        <v>1904</v>
      </c>
      <c r="G520" s="2" t="s">
        <v>1905</v>
      </c>
      <c r="H520" t="s">
        <v>18</v>
      </c>
      <c r="I520" t="s">
        <v>133</v>
      </c>
      <c r="J520" t="s">
        <v>134</v>
      </c>
      <c r="K520" t="s">
        <v>930</v>
      </c>
      <c r="L520" t="s">
        <v>930</v>
      </c>
      <c r="M520" t="s">
        <v>135</v>
      </c>
      <c r="N520" t="s">
        <v>73</v>
      </c>
      <c r="O520" t="s">
        <v>24</v>
      </c>
      <c r="P520" t="s">
        <v>25</v>
      </c>
      <c r="Q520">
        <v>1</v>
      </c>
      <c r="R520">
        <v>0</v>
      </c>
      <c r="S520" s="2" t="str">
        <f>IFERROR(VLOOKUP(C520,Sheet2!B:E,4,0),C520)</f>
        <v>一般产品</v>
      </c>
    </row>
    <row r="521" spans="1:19" x14ac:dyDescent="0.2">
      <c r="A521" t="s">
        <v>2515</v>
      </c>
      <c r="B521">
        <v>1399</v>
      </c>
      <c r="C521" t="s">
        <v>26</v>
      </c>
      <c r="D521" t="s">
        <v>50</v>
      </c>
      <c r="E521" t="s">
        <v>1089</v>
      </c>
      <c r="F521" t="s">
        <v>1256</v>
      </c>
      <c r="G521" s="2" t="s">
        <v>1257</v>
      </c>
      <c r="H521" t="s">
        <v>28</v>
      </c>
      <c r="I521" t="s">
        <v>182</v>
      </c>
      <c r="J521" t="s">
        <v>183</v>
      </c>
      <c r="K521" t="s">
        <v>930</v>
      </c>
      <c r="L521" t="s">
        <v>930</v>
      </c>
      <c r="M521" t="s">
        <v>184</v>
      </c>
      <c r="N521" t="s">
        <v>85</v>
      </c>
      <c r="O521" t="s">
        <v>33</v>
      </c>
      <c r="P521" t="s">
        <v>34</v>
      </c>
      <c r="Q521">
        <v>1</v>
      </c>
      <c r="R521">
        <v>0</v>
      </c>
      <c r="S521" s="2" t="str">
        <f>IFERROR(VLOOKUP(C521,Sheet2!B:E,4,0),C521)</f>
        <v>一般产品</v>
      </c>
    </row>
    <row r="522" spans="1:19" x14ac:dyDescent="0.2">
      <c r="A522" t="s">
        <v>2516</v>
      </c>
      <c r="B522">
        <v>1000</v>
      </c>
      <c r="C522" t="s">
        <v>26</v>
      </c>
      <c r="D522" t="s">
        <v>50</v>
      </c>
      <c r="E522" t="s">
        <v>470</v>
      </c>
      <c r="F522" t="s">
        <v>665</v>
      </c>
      <c r="G522" s="2" t="s">
        <v>666</v>
      </c>
      <c r="H522" t="s">
        <v>18</v>
      </c>
      <c r="I522" t="s">
        <v>164</v>
      </c>
      <c r="J522" t="s">
        <v>165</v>
      </c>
      <c r="K522" t="s">
        <v>930</v>
      </c>
      <c r="L522" t="s">
        <v>930</v>
      </c>
      <c r="M522" t="s">
        <v>166</v>
      </c>
      <c r="N522" t="s">
        <v>55</v>
      </c>
      <c r="O522" t="s">
        <v>33</v>
      </c>
      <c r="P522" t="s">
        <v>34</v>
      </c>
      <c r="Q522">
        <v>1</v>
      </c>
      <c r="R522">
        <v>0</v>
      </c>
      <c r="S522" s="2" t="str">
        <f>IFERROR(VLOOKUP(C522,Sheet2!B:E,4,0),C522)</f>
        <v>一般产品</v>
      </c>
    </row>
    <row r="523" spans="1:19" x14ac:dyDescent="0.2">
      <c r="A523" t="s">
        <v>2517</v>
      </c>
      <c r="B523">
        <v>3498</v>
      </c>
      <c r="C523" t="s">
        <v>26</v>
      </c>
      <c r="D523" t="s">
        <v>726</v>
      </c>
      <c r="E523" t="s">
        <v>2518</v>
      </c>
      <c r="F523" t="s">
        <v>391</v>
      </c>
      <c r="G523" s="2" t="s">
        <v>392</v>
      </c>
      <c r="H523" t="s">
        <v>18</v>
      </c>
      <c r="I523" t="s">
        <v>934</v>
      </c>
      <c r="J523" t="s">
        <v>935</v>
      </c>
      <c r="K523" t="s">
        <v>930</v>
      </c>
      <c r="L523" t="s">
        <v>930</v>
      </c>
      <c r="M523" t="s">
        <v>936</v>
      </c>
      <c r="N523" t="s">
        <v>45</v>
      </c>
      <c r="O523" t="s">
        <v>48</v>
      </c>
      <c r="P523" t="s">
        <v>49</v>
      </c>
      <c r="Q523">
        <v>1</v>
      </c>
      <c r="R523">
        <v>0</v>
      </c>
      <c r="S523" s="2" t="str">
        <f>IFERROR(VLOOKUP(C523,Sheet2!B:E,4,0),C523)</f>
        <v>一般产品</v>
      </c>
    </row>
    <row r="524" spans="1:19" x14ac:dyDescent="0.2">
      <c r="A524" t="s">
        <v>2519</v>
      </c>
      <c r="B524">
        <v>2499</v>
      </c>
      <c r="C524" t="s">
        <v>589</v>
      </c>
      <c r="D524" t="s">
        <v>2257</v>
      </c>
      <c r="E524" t="s">
        <v>316</v>
      </c>
      <c r="F524" t="s">
        <v>609</v>
      </c>
      <c r="G524" s="2" t="s">
        <v>610</v>
      </c>
      <c r="H524" t="s">
        <v>18</v>
      </c>
      <c r="I524" t="s">
        <v>76</v>
      </c>
      <c r="J524" t="s">
        <v>77</v>
      </c>
      <c r="K524" t="s">
        <v>930</v>
      </c>
      <c r="L524" t="s">
        <v>930</v>
      </c>
      <c r="M524" t="s">
        <v>78</v>
      </c>
      <c r="N524" t="s">
        <v>44</v>
      </c>
      <c r="O524" t="s">
        <v>24</v>
      </c>
      <c r="P524" t="s">
        <v>25</v>
      </c>
      <c r="Q524">
        <v>1</v>
      </c>
      <c r="R524">
        <v>0</v>
      </c>
      <c r="S524" s="2" t="str">
        <f>IFERROR(VLOOKUP(C524,Sheet2!B:E,4,0),C524)</f>
        <v>优惠产品</v>
      </c>
    </row>
    <row r="525" spans="1:19" x14ac:dyDescent="0.2">
      <c r="A525" t="s">
        <v>2520</v>
      </c>
      <c r="B525">
        <v>1900</v>
      </c>
      <c r="C525" t="s">
        <v>26</v>
      </c>
      <c r="D525" t="s">
        <v>50</v>
      </c>
      <c r="E525" t="s">
        <v>628</v>
      </c>
      <c r="F525" t="s">
        <v>974</v>
      </c>
      <c r="G525" s="2" t="s">
        <v>975</v>
      </c>
      <c r="H525" t="s">
        <v>18</v>
      </c>
      <c r="I525" t="s">
        <v>930</v>
      </c>
      <c r="J525" t="s">
        <v>930</v>
      </c>
      <c r="K525" t="s">
        <v>842</v>
      </c>
      <c r="L525" t="s">
        <v>930</v>
      </c>
      <c r="M525" t="s">
        <v>932</v>
      </c>
      <c r="N525" t="s">
        <v>85</v>
      </c>
      <c r="O525" t="s">
        <v>33</v>
      </c>
      <c r="P525" t="s">
        <v>34</v>
      </c>
      <c r="Q525">
        <v>1</v>
      </c>
      <c r="R525">
        <v>0</v>
      </c>
      <c r="S525" s="2" t="str">
        <f>IFERROR(VLOOKUP(C525,Sheet2!B:E,4,0),C525)</f>
        <v>一般产品</v>
      </c>
    </row>
    <row r="526" spans="1:19" x14ac:dyDescent="0.2">
      <c r="A526" t="s">
        <v>2521</v>
      </c>
      <c r="B526">
        <v>2010</v>
      </c>
      <c r="C526" t="s">
        <v>26</v>
      </c>
      <c r="D526" t="s">
        <v>50</v>
      </c>
      <c r="E526" t="s">
        <v>1086</v>
      </c>
      <c r="F526" t="s">
        <v>2522</v>
      </c>
      <c r="G526" s="2" t="s">
        <v>2523</v>
      </c>
      <c r="H526" t="s">
        <v>18</v>
      </c>
      <c r="I526" t="s">
        <v>930</v>
      </c>
      <c r="J526" t="s">
        <v>930</v>
      </c>
      <c r="K526" t="s">
        <v>235</v>
      </c>
      <c r="L526" t="s">
        <v>930</v>
      </c>
      <c r="M526" t="s">
        <v>236</v>
      </c>
      <c r="N526" t="s">
        <v>55</v>
      </c>
      <c r="O526" t="s">
        <v>33</v>
      </c>
      <c r="P526" t="s">
        <v>34</v>
      </c>
      <c r="Q526">
        <v>1</v>
      </c>
      <c r="R526">
        <v>0</v>
      </c>
      <c r="S526" s="2" t="str">
        <f>IFERROR(VLOOKUP(C526,Sheet2!B:E,4,0),C526)</f>
        <v>一般产品</v>
      </c>
    </row>
    <row r="527" spans="1:19" x14ac:dyDescent="0.2">
      <c r="A527" t="s">
        <v>2524</v>
      </c>
      <c r="B527">
        <v>2649</v>
      </c>
      <c r="C527" t="s">
        <v>575</v>
      </c>
      <c r="D527" t="s">
        <v>50</v>
      </c>
      <c r="E527" t="s">
        <v>2525</v>
      </c>
      <c r="F527" t="s">
        <v>799</v>
      </c>
      <c r="G527" s="2" t="s">
        <v>800</v>
      </c>
      <c r="H527" t="s">
        <v>18</v>
      </c>
      <c r="I527" t="s">
        <v>111</v>
      </c>
      <c r="J527" t="s">
        <v>112</v>
      </c>
      <c r="K527" t="s">
        <v>930</v>
      </c>
      <c r="L527" t="s">
        <v>930</v>
      </c>
      <c r="M527" t="s">
        <v>113</v>
      </c>
      <c r="N527" t="s">
        <v>114</v>
      </c>
      <c r="O527" t="s">
        <v>24</v>
      </c>
      <c r="P527" t="s">
        <v>25</v>
      </c>
      <c r="Q527">
        <v>1</v>
      </c>
      <c r="R527">
        <v>0</v>
      </c>
      <c r="S527" s="2" t="str">
        <f>IFERROR(VLOOKUP(C527,Sheet2!B:E,4,0),C527)</f>
        <v>优惠产品</v>
      </c>
    </row>
    <row r="528" spans="1:19" x14ac:dyDescent="0.2">
      <c r="A528" t="s">
        <v>2526</v>
      </c>
      <c r="B528">
        <v>1449</v>
      </c>
      <c r="C528" t="s">
        <v>26</v>
      </c>
      <c r="D528" t="s">
        <v>50</v>
      </c>
      <c r="E528" t="s">
        <v>1410</v>
      </c>
      <c r="F528" t="s">
        <v>791</v>
      </c>
      <c r="G528" s="2" t="s">
        <v>543</v>
      </c>
      <c r="H528" t="s">
        <v>18</v>
      </c>
      <c r="I528" t="s">
        <v>159</v>
      </c>
      <c r="J528" t="s">
        <v>160</v>
      </c>
      <c r="K528" t="s">
        <v>930</v>
      </c>
      <c r="L528" t="s">
        <v>930</v>
      </c>
      <c r="M528" t="s">
        <v>161</v>
      </c>
      <c r="N528" t="s">
        <v>55</v>
      </c>
      <c r="O528" t="s">
        <v>33</v>
      </c>
      <c r="P528" t="s">
        <v>34</v>
      </c>
      <c r="Q528">
        <v>1</v>
      </c>
      <c r="R528">
        <v>0</v>
      </c>
      <c r="S528" s="2" t="str">
        <f>IFERROR(VLOOKUP(C528,Sheet2!B:E,4,0),C528)</f>
        <v>一般产品</v>
      </c>
    </row>
    <row r="529" spans="1:19" x14ac:dyDescent="0.2">
      <c r="A529" t="s">
        <v>2527</v>
      </c>
      <c r="B529">
        <v>2799</v>
      </c>
      <c r="C529" t="s">
        <v>26</v>
      </c>
      <c r="D529" t="s">
        <v>50</v>
      </c>
      <c r="E529" t="s">
        <v>790</v>
      </c>
      <c r="F529" t="s">
        <v>1014</v>
      </c>
      <c r="G529" s="2" t="s">
        <v>1015</v>
      </c>
      <c r="H529" t="s">
        <v>18</v>
      </c>
      <c r="I529" t="s">
        <v>164</v>
      </c>
      <c r="J529" t="s">
        <v>165</v>
      </c>
      <c r="K529" t="s">
        <v>930</v>
      </c>
      <c r="L529" t="s">
        <v>930</v>
      </c>
      <c r="M529" t="s">
        <v>166</v>
      </c>
      <c r="N529" t="s">
        <v>55</v>
      </c>
      <c r="O529" t="s">
        <v>33</v>
      </c>
      <c r="P529" t="s">
        <v>34</v>
      </c>
      <c r="Q529">
        <v>1</v>
      </c>
      <c r="R529">
        <v>0</v>
      </c>
      <c r="S529" s="2" t="str">
        <f>IFERROR(VLOOKUP(C529,Sheet2!B:E,4,0),C529)</f>
        <v>一般产品</v>
      </c>
    </row>
    <row r="530" spans="1:19" x14ac:dyDescent="0.2">
      <c r="A530" t="s">
        <v>2528</v>
      </c>
      <c r="B530">
        <v>3980</v>
      </c>
      <c r="C530" t="s">
        <v>575</v>
      </c>
      <c r="D530" t="s">
        <v>971</v>
      </c>
      <c r="E530" t="s">
        <v>2034</v>
      </c>
      <c r="F530" t="s">
        <v>2529</v>
      </c>
      <c r="G530" s="2" t="s">
        <v>2530</v>
      </c>
      <c r="H530" t="s">
        <v>18</v>
      </c>
      <c r="I530" t="s">
        <v>151</v>
      </c>
      <c r="J530" t="s">
        <v>152</v>
      </c>
      <c r="K530" t="s">
        <v>930</v>
      </c>
      <c r="L530" t="s">
        <v>930</v>
      </c>
      <c r="M530" t="s">
        <v>153</v>
      </c>
      <c r="N530" t="s">
        <v>61</v>
      </c>
      <c r="O530" t="s">
        <v>129</v>
      </c>
      <c r="P530" t="s">
        <v>25</v>
      </c>
      <c r="Q530">
        <v>1</v>
      </c>
      <c r="R530">
        <v>0</v>
      </c>
      <c r="S530" s="2" t="str">
        <f>IFERROR(VLOOKUP(C530,Sheet2!B:E,4,0),C530)</f>
        <v>优惠产品</v>
      </c>
    </row>
    <row r="531" spans="1:19" x14ac:dyDescent="0.2">
      <c r="A531" t="s">
        <v>2531</v>
      </c>
      <c r="B531">
        <v>2499</v>
      </c>
      <c r="C531" t="s">
        <v>589</v>
      </c>
      <c r="D531" t="s">
        <v>2257</v>
      </c>
      <c r="E531" t="s">
        <v>276</v>
      </c>
      <c r="F531" t="s">
        <v>1283</v>
      </c>
      <c r="G531" s="2" t="s">
        <v>1284</v>
      </c>
      <c r="H531" t="s">
        <v>28</v>
      </c>
      <c r="I531" t="s">
        <v>277</v>
      </c>
      <c r="J531" t="s">
        <v>278</v>
      </c>
      <c r="K531" t="s">
        <v>930</v>
      </c>
      <c r="L531" t="s">
        <v>930</v>
      </c>
      <c r="M531" t="s">
        <v>279</v>
      </c>
      <c r="N531" t="s">
        <v>44</v>
      </c>
      <c r="O531" t="s">
        <v>24</v>
      </c>
      <c r="P531" t="s">
        <v>25</v>
      </c>
      <c r="Q531">
        <v>1</v>
      </c>
      <c r="R531">
        <v>0</v>
      </c>
      <c r="S531" s="2" t="str">
        <f>IFERROR(VLOOKUP(C531,Sheet2!B:E,4,0),C531)</f>
        <v>优惠产品</v>
      </c>
    </row>
    <row r="532" spans="1:19" x14ac:dyDescent="0.2">
      <c r="A532" t="s">
        <v>2532</v>
      </c>
      <c r="B532">
        <v>2599</v>
      </c>
      <c r="C532" t="s">
        <v>26</v>
      </c>
      <c r="D532" t="s">
        <v>2257</v>
      </c>
      <c r="E532" t="s">
        <v>354</v>
      </c>
      <c r="F532" t="s">
        <v>2242</v>
      </c>
      <c r="G532" s="2" t="s">
        <v>2243</v>
      </c>
      <c r="H532" t="s">
        <v>18</v>
      </c>
      <c r="I532" t="s">
        <v>81</v>
      </c>
      <c r="J532" t="s">
        <v>1230</v>
      </c>
      <c r="K532" t="s">
        <v>930</v>
      </c>
      <c r="L532" t="s">
        <v>930</v>
      </c>
      <c r="M532" t="s">
        <v>1231</v>
      </c>
      <c r="N532" t="s">
        <v>68</v>
      </c>
      <c r="O532" t="s">
        <v>33</v>
      </c>
      <c r="P532" t="s">
        <v>34</v>
      </c>
      <c r="Q532">
        <v>1</v>
      </c>
      <c r="R532">
        <v>0</v>
      </c>
      <c r="S532" s="2" t="str">
        <f>IFERROR(VLOOKUP(C532,Sheet2!B:E,4,0),C532)</f>
        <v>一般产品</v>
      </c>
    </row>
    <row r="533" spans="1:19" x14ac:dyDescent="0.2">
      <c r="A533" t="s">
        <v>2533</v>
      </c>
      <c r="B533">
        <v>1698</v>
      </c>
      <c r="C533" t="s">
        <v>26</v>
      </c>
      <c r="D533" t="s">
        <v>2257</v>
      </c>
      <c r="E533" t="s">
        <v>2534</v>
      </c>
      <c r="F533" t="s">
        <v>253</v>
      </c>
      <c r="G533" s="2" t="s">
        <v>254</v>
      </c>
      <c r="H533" t="s">
        <v>28</v>
      </c>
      <c r="I533" t="s">
        <v>100</v>
      </c>
      <c r="J533" t="s">
        <v>101</v>
      </c>
      <c r="K533" t="s">
        <v>930</v>
      </c>
      <c r="L533" t="s">
        <v>930</v>
      </c>
      <c r="M533" t="s">
        <v>102</v>
      </c>
      <c r="N533" t="s">
        <v>59</v>
      </c>
      <c r="O533" t="s">
        <v>72</v>
      </c>
      <c r="P533" t="s">
        <v>34</v>
      </c>
      <c r="Q533">
        <v>1</v>
      </c>
      <c r="R533">
        <v>0</v>
      </c>
      <c r="S533" s="2" t="str">
        <f>IFERROR(VLOOKUP(C533,Sheet2!B:E,4,0),C533)</f>
        <v>一般产品</v>
      </c>
    </row>
    <row r="534" spans="1:19" x14ac:dyDescent="0.2">
      <c r="A534" t="s">
        <v>2535</v>
      </c>
      <c r="B534">
        <v>1398</v>
      </c>
      <c r="C534" t="s">
        <v>26</v>
      </c>
      <c r="D534" t="s">
        <v>2257</v>
      </c>
      <c r="E534" t="s">
        <v>1367</v>
      </c>
      <c r="F534" t="s">
        <v>774</v>
      </c>
      <c r="G534" s="2" t="s">
        <v>775</v>
      </c>
      <c r="H534" t="s">
        <v>18</v>
      </c>
      <c r="I534" t="s">
        <v>100</v>
      </c>
      <c r="J534" t="s">
        <v>101</v>
      </c>
      <c r="K534" t="s">
        <v>930</v>
      </c>
      <c r="L534" t="s">
        <v>930</v>
      </c>
      <c r="M534" t="s">
        <v>102</v>
      </c>
      <c r="N534" t="s">
        <v>59</v>
      </c>
      <c r="O534" t="s">
        <v>72</v>
      </c>
      <c r="P534" t="s">
        <v>34</v>
      </c>
      <c r="Q534">
        <v>1</v>
      </c>
      <c r="R534">
        <v>0</v>
      </c>
      <c r="S534" s="2" t="str">
        <f>IFERROR(VLOOKUP(C534,Sheet2!B:E,4,0),C534)</f>
        <v>一般产品</v>
      </c>
    </row>
    <row r="535" spans="1:19" x14ac:dyDescent="0.2">
      <c r="A535" t="s">
        <v>2536</v>
      </c>
      <c r="B535">
        <v>3400</v>
      </c>
      <c r="C535" t="s">
        <v>26</v>
      </c>
      <c r="D535" t="s">
        <v>50</v>
      </c>
      <c r="E535" t="s">
        <v>2537</v>
      </c>
      <c r="F535" t="s">
        <v>496</v>
      </c>
      <c r="G535" s="2" t="s">
        <v>497</v>
      </c>
      <c r="H535" t="s">
        <v>18</v>
      </c>
      <c r="I535" t="s">
        <v>107</v>
      </c>
      <c r="J535" t="s">
        <v>1046</v>
      </c>
      <c r="K535" t="s">
        <v>930</v>
      </c>
      <c r="L535" t="s">
        <v>930</v>
      </c>
      <c r="M535" t="s">
        <v>1047</v>
      </c>
      <c r="N535" t="s">
        <v>108</v>
      </c>
      <c r="O535" t="s">
        <v>33</v>
      </c>
      <c r="P535" t="s">
        <v>34</v>
      </c>
      <c r="Q535">
        <v>1</v>
      </c>
      <c r="R535">
        <v>0</v>
      </c>
      <c r="S535" s="2" t="str">
        <f>IFERROR(VLOOKUP(C535,Sheet2!B:E,4,0),C535)</f>
        <v>一般产品</v>
      </c>
    </row>
    <row r="536" spans="1:19" x14ac:dyDescent="0.2">
      <c r="A536" t="s">
        <v>2538</v>
      </c>
      <c r="B536">
        <v>2099</v>
      </c>
      <c r="C536" t="s">
        <v>589</v>
      </c>
      <c r="D536" t="s">
        <v>2257</v>
      </c>
      <c r="E536" t="s">
        <v>2539</v>
      </c>
      <c r="F536" t="s">
        <v>1207</v>
      </c>
      <c r="G536" s="2" t="s">
        <v>1208</v>
      </c>
      <c r="H536" t="s">
        <v>18</v>
      </c>
      <c r="I536" t="s">
        <v>445</v>
      </c>
      <c r="J536" t="s">
        <v>446</v>
      </c>
      <c r="K536" t="s">
        <v>930</v>
      </c>
      <c r="L536" t="s">
        <v>930</v>
      </c>
      <c r="M536" t="s">
        <v>447</v>
      </c>
      <c r="N536" t="s">
        <v>44</v>
      </c>
      <c r="O536" t="s">
        <v>24</v>
      </c>
      <c r="P536" t="s">
        <v>25</v>
      </c>
      <c r="Q536">
        <v>1</v>
      </c>
      <c r="R536">
        <v>0</v>
      </c>
      <c r="S536" s="2" t="str">
        <f>IFERROR(VLOOKUP(C536,Sheet2!B:E,4,0),C536)</f>
        <v>优惠产品</v>
      </c>
    </row>
    <row r="537" spans="1:19" x14ac:dyDescent="0.2">
      <c r="A537" t="s">
        <v>2540</v>
      </c>
      <c r="B537">
        <v>1798</v>
      </c>
      <c r="C537" t="s">
        <v>589</v>
      </c>
      <c r="D537" t="s">
        <v>50</v>
      </c>
      <c r="E537" t="s">
        <v>951</v>
      </c>
      <c r="F537" t="s">
        <v>984</v>
      </c>
      <c r="G537" s="2" t="s">
        <v>985</v>
      </c>
      <c r="H537" t="s">
        <v>28</v>
      </c>
      <c r="I537" t="s">
        <v>143</v>
      </c>
      <c r="J537" t="s">
        <v>144</v>
      </c>
      <c r="K537" t="s">
        <v>930</v>
      </c>
      <c r="L537" t="s">
        <v>930</v>
      </c>
      <c r="M537" t="s">
        <v>145</v>
      </c>
      <c r="N537" t="s">
        <v>146</v>
      </c>
      <c r="O537" t="s">
        <v>33</v>
      </c>
      <c r="P537" t="s">
        <v>34</v>
      </c>
      <c r="Q537">
        <v>1</v>
      </c>
      <c r="R537">
        <v>0</v>
      </c>
      <c r="S537" s="2" t="str">
        <f>IFERROR(VLOOKUP(C537,Sheet2!B:E,4,0),C537)</f>
        <v>优惠产品</v>
      </c>
    </row>
    <row r="538" spans="1:19" x14ac:dyDescent="0.2">
      <c r="A538" t="s">
        <v>2541</v>
      </c>
      <c r="B538">
        <v>2000</v>
      </c>
      <c r="C538" t="s">
        <v>26</v>
      </c>
      <c r="D538" t="s">
        <v>50</v>
      </c>
      <c r="E538" t="s">
        <v>2542</v>
      </c>
      <c r="F538" t="s">
        <v>2543</v>
      </c>
      <c r="G538" s="2" t="s">
        <v>2544</v>
      </c>
      <c r="H538" t="s">
        <v>18</v>
      </c>
      <c r="I538" t="s">
        <v>88</v>
      </c>
      <c r="J538" t="s">
        <v>89</v>
      </c>
      <c r="K538" t="s">
        <v>930</v>
      </c>
      <c r="L538" t="s">
        <v>930</v>
      </c>
      <c r="M538" t="s">
        <v>933</v>
      </c>
      <c r="N538" t="s">
        <v>32</v>
      </c>
      <c r="O538" t="s">
        <v>33</v>
      </c>
      <c r="P538" t="s">
        <v>34</v>
      </c>
      <c r="Q538">
        <v>1</v>
      </c>
      <c r="R538">
        <v>0</v>
      </c>
      <c r="S538" s="2" t="str">
        <f>IFERROR(VLOOKUP(C538,Sheet2!B:E,4,0),C538)</f>
        <v>一般产品</v>
      </c>
    </row>
    <row r="539" spans="1:19" x14ac:dyDescent="0.2">
      <c r="A539" t="s">
        <v>2545</v>
      </c>
      <c r="B539">
        <v>2020</v>
      </c>
      <c r="C539" t="s">
        <v>26</v>
      </c>
      <c r="D539" t="s">
        <v>50</v>
      </c>
      <c r="E539" t="s">
        <v>2546</v>
      </c>
      <c r="F539" t="s">
        <v>698</v>
      </c>
      <c r="G539" s="2" t="s">
        <v>699</v>
      </c>
      <c r="H539" t="s">
        <v>28</v>
      </c>
      <c r="I539" t="s">
        <v>930</v>
      </c>
      <c r="J539" t="s">
        <v>930</v>
      </c>
      <c r="K539" t="s">
        <v>235</v>
      </c>
      <c r="L539" t="s">
        <v>930</v>
      </c>
      <c r="M539" t="s">
        <v>236</v>
      </c>
      <c r="N539" t="s">
        <v>55</v>
      </c>
      <c r="O539" t="s">
        <v>33</v>
      </c>
      <c r="P539" t="s">
        <v>34</v>
      </c>
      <c r="Q539">
        <v>1</v>
      </c>
      <c r="R539">
        <v>0</v>
      </c>
      <c r="S539" s="2" t="str">
        <f>IFERROR(VLOOKUP(C539,Sheet2!B:E,4,0),C539)</f>
        <v>一般产品</v>
      </c>
    </row>
    <row r="540" spans="1:19" x14ac:dyDescent="0.2">
      <c r="A540" t="s">
        <v>2547</v>
      </c>
      <c r="B540">
        <v>2680</v>
      </c>
      <c r="C540" t="s">
        <v>26</v>
      </c>
      <c r="D540" t="s">
        <v>971</v>
      </c>
      <c r="E540" t="s">
        <v>2548</v>
      </c>
      <c r="F540" t="s">
        <v>704</v>
      </c>
      <c r="G540" s="2" t="s">
        <v>705</v>
      </c>
      <c r="H540" t="s">
        <v>18</v>
      </c>
      <c r="I540" t="s">
        <v>40</v>
      </c>
      <c r="J540" t="s">
        <v>41</v>
      </c>
      <c r="K540" t="s">
        <v>930</v>
      </c>
      <c r="L540" t="s">
        <v>930</v>
      </c>
      <c r="M540" t="s">
        <v>42</v>
      </c>
      <c r="N540" t="s">
        <v>43</v>
      </c>
      <c r="O540" t="s">
        <v>24</v>
      </c>
      <c r="P540" t="s">
        <v>25</v>
      </c>
      <c r="Q540">
        <v>1</v>
      </c>
      <c r="R540">
        <v>0</v>
      </c>
      <c r="S540" s="2" t="str">
        <f>IFERROR(VLOOKUP(C540,Sheet2!B:E,4,0),C540)</f>
        <v>一般产品</v>
      </c>
    </row>
    <row r="541" spans="1:19" x14ac:dyDescent="0.2">
      <c r="A541" t="s">
        <v>2549</v>
      </c>
      <c r="B541">
        <v>2999</v>
      </c>
      <c r="C541" t="s">
        <v>26</v>
      </c>
      <c r="D541" t="s">
        <v>2257</v>
      </c>
      <c r="E541" t="s">
        <v>1386</v>
      </c>
      <c r="F541" t="s">
        <v>2550</v>
      </c>
      <c r="G541" s="2" t="s">
        <v>2551</v>
      </c>
      <c r="H541" t="s">
        <v>18</v>
      </c>
      <c r="I541" t="s">
        <v>301</v>
      </c>
      <c r="J541" t="s">
        <v>302</v>
      </c>
      <c r="K541" t="s">
        <v>930</v>
      </c>
      <c r="L541" t="s">
        <v>930</v>
      </c>
      <c r="M541" t="s">
        <v>303</v>
      </c>
      <c r="N541" t="s">
        <v>194</v>
      </c>
      <c r="O541" t="s">
        <v>24</v>
      </c>
      <c r="P541" t="s">
        <v>25</v>
      </c>
      <c r="Q541">
        <v>1</v>
      </c>
      <c r="R541">
        <v>0</v>
      </c>
      <c r="S541" s="2" t="str">
        <f>IFERROR(VLOOKUP(C541,Sheet2!B:E,4,0),C541)</f>
        <v>一般产品</v>
      </c>
    </row>
    <row r="542" spans="1:19" x14ac:dyDescent="0.2">
      <c r="A542" t="s">
        <v>2552</v>
      </c>
      <c r="B542">
        <v>1601</v>
      </c>
      <c r="C542" t="s">
        <v>26</v>
      </c>
      <c r="D542" t="s">
        <v>50</v>
      </c>
      <c r="E542" t="s">
        <v>413</v>
      </c>
      <c r="F542" t="s">
        <v>1306</v>
      </c>
      <c r="G542" s="2" t="s">
        <v>1307</v>
      </c>
      <c r="H542" t="s">
        <v>18</v>
      </c>
      <c r="I542" t="s">
        <v>121</v>
      </c>
      <c r="J542" t="s">
        <v>122</v>
      </c>
      <c r="K542" t="s">
        <v>930</v>
      </c>
      <c r="L542" t="s">
        <v>930</v>
      </c>
      <c r="M542" t="s">
        <v>123</v>
      </c>
      <c r="N542" t="s">
        <v>55</v>
      </c>
      <c r="O542" t="s">
        <v>33</v>
      </c>
      <c r="P542" t="s">
        <v>34</v>
      </c>
      <c r="Q542">
        <v>1</v>
      </c>
      <c r="R542">
        <v>0</v>
      </c>
      <c r="S542" s="2" t="str">
        <f>IFERROR(VLOOKUP(C542,Sheet2!B:E,4,0),C542)</f>
        <v>一般产品</v>
      </c>
    </row>
    <row r="543" spans="1:19" x14ac:dyDescent="0.2">
      <c r="A543" t="s">
        <v>2553</v>
      </c>
      <c r="B543">
        <v>1500</v>
      </c>
      <c r="C543" t="s">
        <v>575</v>
      </c>
      <c r="D543" t="s">
        <v>971</v>
      </c>
      <c r="E543" t="s">
        <v>2554</v>
      </c>
      <c r="F543" t="s">
        <v>2555</v>
      </c>
      <c r="G543" s="2" t="s">
        <v>2556</v>
      </c>
      <c r="H543" t="s">
        <v>18</v>
      </c>
      <c r="I543" t="s">
        <v>35</v>
      </c>
      <c r="J543" t="s">
        <v>36</v>
      </c>
      <c r="K543" t="s">
        <v>930</v>
      </c>
      <c r="L543" t="s">
        <v>930</v>
      </c>
      <c r="M543" t="s">
        <v>37</v>
      </c>
      <c r="N543" t="s">
        <v>38</v>
      </c>
      <c r="O543" t="s">
        <v>39</v>
      </c>
      <c r="P543" t="s">
        <v>25</v>
      </c>
      <c r="Q543">
        <v>1</v>
      </c>
      <c r="R543">
        <v>0</v>
      </c>
      <c r="S543" s="2" t="str">
        <f>IFERROR(VLOOKUP(C543,Sheet2!B:E,4,0),C543)</f>
        <v>优惠产品</v>
      </c>
    </row>
    <row r="544" spans="1:19" x14ac:dyDescent="0.2">
      <c r="A544" t="s">
        <v>2557</v>
      </c>
      <c r="B544">
        <v>1700</v>
      </c>
      <c r="C544" t="s">
        <v>26</v>
      </c>
      <c r="D544" t="s">
        <v>50</v>
      </c>
      <c r="E544" t="s">
        <v>1170</v>
      </c>
      <c r="F544" t="s">
        <v>758</v>
      </c>
      <c r="G544" s="2" t="s">
        <v>759</v>
      </c>
      <c r="H544" t="s">
        <v>28</v>
      </c>
      <c r="I544" t="s">
        <v>221</v>
      </c>
      <c r="J544" t="s">
        <v>222</v>
      </c>
      <c r="K544" t="s">
        <v>930</v>
      </c>
      <c r="L544" t="s">
        <v>930</v>
      </c>
      <c r="M544" t="s">
        <v>223</v>
      </c>
      <c r="N544" t="s">
        <v>55</v>
      </c>
      <c r="O544" t="s">
        <v>33</v>
      </c>
      <c r="P544" t="s">
        <v>34</v>
      </c>
      <c r="Q544">
        <v>1</v>
      </c>
      <c r="R544">
        <v>0</v>
      </c>
      <c r="S544" s="2" t="str">
        <f>IFERROR(VLOOKUP(C544,Sheet2!B:E,4,0),C544)</f>
        <v>一般产品</v>
      </c>
    </row>
    <row r="545" spans="1:19" x14ac:dyDescent="0.2">
      <c r="A545" t="s">
        <v>2558</v>
      </c>
      <c r="B545">
        <v>3000</v>
      </c>
      <c r="C545" t="s">
        <v>26</v>
      </c>
      <c r="D545" t="s">
        <v>2257</v>
      </c>
      <c r="E545" t="s">
        <v>848</v>
      </c>
      <c r="F545" t="s">
        <v>1314</v>
      </c>
      <c r="G545" s="2" t="s">
        <v>1315</v>
      </c>
      <c r="H545" t="s">
        <v>18</v>
      </c>
      <c r="I545" t="s">
        <v>930</v>
      </c>
      <c r="J545" t="s">
        <v>930</v>
      </c>
      <c r="K545" t="s">
        <v>163</v>
      </c>
      <c r="L545" t="s">
        <v>930</v>
      </c>
      <c r="M545" t="s">
        <v>931</v>
      </c>
      <c r="N545" t="s">
        <v>68</v>
      </c>
      <c r="O545" t="s">
        <v>33</v>
      </c>
      <c r="P545" t="s">
        <v>34</v>
      </c>
      <c r="Q545">
        <v>1</v>
      </c>
      <c r="R545">
        <v>0</v>
      </c>
      <c r="S545" s="2" t="str">
        <f>IFERROR(VLOOKUP(C545,Sheet2!B:E,4,0),C545)</f>
        <v>一般产品</v>
      </c>
    </row>
    <row r="546" spans="1:19" x14ac:dyDescent="0.2">
      <c r="A546" t="s">
        <v>2559</v>
      </c>
      <c r="B546">
        <v>3299</v>
      </c>
      <c r="C546" t="s">
        <v>575</v>
      </c>
      <c r="D546" t="s">
        <v>971</v>
      </c>
      <c r="E546" t="s">
        <v>1403</v>
      </c>
      <c r="F546" t="s">
        <v>1212</v>
      </c>
      <c r="G546" s="2" t="s">
        <v>1213</v>
      </c>
      <c r="H546" t="s">
        <v>18</v>
      </c>
      <c r="I546" t="s">
        <v>266</v>
      </c>
      <c r="J546" t="s">
        <v>267</v>
      </c>
      <c r="K546" t="s">
        <v>930</v>
      </c>
      <c r="L546" t="s">
        <v>930</v>
      </c>
      <c r="M546" t="s">
        <v>268</v>
      </c>
      <c r="N546" t="s">
        <v>185</v>
      </c>
      <c r="O546" t="s">
        <v>39</v>
      </c>
      <c r="P546" t="s">
        <v>25</v>
      </c>
      <c r="Q546">
        <v>1</v>
      </c>
      <c r="R546">
        <v>0</v>
      </c>
      <c r="S546" s="2" t="str">
        <f>IFERROR(VLOOKUP(C546,Sheet2!B:E,4,0),C546)</f>
        <v>优惠产品</v>
      </c>
    </row>
    <row r="547" spans="1:19" x14ac:dyDescent="0.2">
      <c r="A547" t="s">
        <v>2560</v>
      </c>
      <c r="B547">
        <v>2000</v>
      </c>
      <c r="C547" t="s">
        <v>26</v>
      </c>
      <c r="D547" t="s">
        <v>50</v>
      </c>
      <c r="E547" t="s">
        <v>2561</v>
      </c>
      <c r="F547" t="s">
        <v>2562</v>
      </c>
      <c r="G547" s="2" t="s">
        <v>2563</v>
      </c>
      <c r="H547" t="s">
        <v>18</v>
      </c>
      <c r="I547" t="s">
        <v>930</v>
      </c>
      <c r="J547" t="s">
        <v>930</v>
      </c>
      <c r="K547" t="s">
        <v>230</v>
      </c>
      <c r="L547" t="s">
        <v>930</v>
      </c>
      <c r="M547" t="s">
        <v>231</v>
      </c>
      <c r="N547" t="s">
        <v>47</v>
      </c>
      <c r="O547" t="s">
        <v>33</v>
      </c>
      <c r="P547" t="s">
        <v>34</v>
      </c>
      <c r="Q547">
        <v>1</v>
      </c>
      <c r="R547">
        <v>0</v>
      </c>
      <c r="S547" s="2" t="str">
        <f>IFERROR(VLOOKUP(C547,Sheet2!B:E,4,0),C547)</f>
        <v>一般产品</v>
      </c>
    </row>
    <row r="548" spans="1:19" x14ac:dyDescent="0.2">
      <c r="A548" t="s">
        <v>2564</v>
      </c>
      <c r="B548">
        <v>2499</v>
      </c>
      <c r="C548" t="s">
        <v>26</v>
      </c>
      <c r="D548" t="s">
        <v>2257</v>
      </c>
      <c r="E548" t="s">
        <v>2565</v>
      </c>
      <c r="F548" t="s">
        <v>829</v>
      </c>
      <c r="G548" s="2" t="s">
        <v>830</v>
      </c>
      <c r="H548" t="s">
        <v>18</v>
      </c>
      <c r="I548" t="s">
        <v>930</v>
      </c>
      <c r="J548" t="s">
        <v>930</v>
      </c>
      <c r="K548" t="s">
        <v>163</v>
      </c>
      <c r="L548" t="s">
        <v>930</v>
      </c>
      <c r="M548" t="s">
        <v>931</v>
      </c>
      <c r="N548" t="s">
        <v>68</v>
      </c>
      <c r="O548" t="s">
        <v>33</v>
      </c>
      <c r="P548" t="s">
        <v>34</v>
      </c>
      <c r="Q548">
        <v>1</v>
      </c>
      <c r="R548">
        <v>0</v>
      </c>
      <c r="S548" s="2" t="str">
        <f>IFERROR(VLOOKUP(C548,Sheet2!B:E,4,0),C548)</f>
        <v>一般产品</v>
      </c>
    </row>
    <row r="549" spans="1:19" x14ac:dyDescent="0.2">
      <c r="A549" t="s">
        <v>2566</v>
      </c>
      <c r="B549">
        <v>2598</v>
      </c>
      <c r="C549" t="s">
        <v>26</v>
      </c>
      <c r="D549" t="s">
        <v>2257</v>
      </c>
      <c r="E549" t="s">
        <v>2567</v>
      </c>
      <c r="F549" t="s">
        <v>1407</v>
      </c>
      <c r="G549" s="2" t="s">
        <v>1408</v>
      </c>
      <c r="H549" t="s">
        <v>18</v>
      </c>
      <c r="I549" t="s">
        <v>301</v>
      </c>
      <c r="J549" t="s">
        <v>302</v>
      </c>
      <c r="K549" t="s">
        <v>930</v>
      </c>
      <c r="L549" t="s">
        <v>930</v>
      </c>
      <c r="M549" t="s">
        <v>303</v>
      </c>
      <c r="N549" t="s">
        <v>194</v>
      </c>
      <c r="O549" t="s">
        <v>24</v>
      </c>
      <c r="P549" t="s">
        <v>25</v>
      </c>
      <c r="Q549">
        <v>1</v>
      </c>
      <c r="R549">
        <v>0</v>
      </c>
      <c r="S549" s="2" t="str">
        <f>IFERROR(VLOOKUP(C549,Sheet2!B:E,4,0),C549)</f>
        <v>一般产品</v>
      </c>
    </row>
    <row r="550" spans="1:19" x14ac:dyDescent="0.2">
      <c r="A550" t="s">
        <v>2568</v>
      </c>
      <c r="B550">
        <v>3698</v>
      </c>
      <c r="C550" t="s">
        <v>575</v>
      </c>
      <c r="D550" t="s">
        <v>971</v>
      </c>
      <c r="E550" t="s">
        <v>632</v>
      </c>
      <c r="F550" t="s">
        <v>363</v>
      </c>
      <c r="G550" s="2" t="s">
        <v>364</v>
      </c>
      <c r="H550" t="s">
        <v>18</v>
      </c>
      <c r="I550" t="s">
        <v>304</v>
      </c>
      <c r="J550" t="s">
        <v>305</v>
      </c>
      <c r="K550" t="s">
        <v>930</v>
      </c>
      <c r="L550" t="s">
        <v>930</v>
      </c>
      <c r="M550" t="s">
        <v>306</v>
      </c>
      <c r="N550" t="s">
        <v>73</v>
      </c>
      <c r="O550" t="s">
        <v>24</v>
      </c>
      <c r="P550" t="s">
        <v>25</v>
      </c>
      <c r="Q550">
        <v>1</v>
      </c>
      <c r="R550">
        <v>0</v>
      </c>
      <c r="S550" s="2" t="str">
        <f>IFERROR(VLOOKUP(C550,Sheet2!B:E,4,0),C550)</f>
        <v>优惠产品</v>
      </c>
    </row>
    <row r="551" spans="1:19" x14ac:dyDescent="0.2">
      <c r="A551" t="s">
        <v>2569</v>
      </c>
      <c r="B551">
        <v>2200</v>
      </c>
      <c r="C551" t="s">
        <v>575</v>
      </c>
      <c r="D551" t="s">
        <v>2257</v>
      </c>
      <c r="E551" t="s">
        <v>2570</v>
      </c>
      <c r="F551" t="s">
        <v>461</v>
      </c>
      <c r="G551" s="2" t="s">
        <v>462</v>
      </c>
      <c r="H551" t="s">
        <v>18</v>
      </c>
      <c r="I551" t="s">
        <v>307</v>
      </c>
      <c r="J551" t="s">
        <v>308</v>
      </c>
      <c r="K551" t="s">
        <v>930</v>
      </c>
      <c r="L551" t="s">
        <v>930</v>
      </c>
      <c r="M551" t="s">
        <v>309</v>
      </c>
      <c r="N551" t="s">
        <v>94</v>
      </c>
      <c r="O551" t="s">
        <v>95</v>
      </c>
      <c r="P551" t="s">
        <v>90</v>
      </c>
      <c r="Q551">
        <v>1</v>
      </c>
      <c r="R551">
        <v>0</v>
      </c>
      <c r="S551" s="2" t="str">
        <f>IFERROR(VLOOKUP(C551,Sheet2!B:E,4,0),C551)</f>
        <v>优惠产品</v>
      </c>
    </row>
    <row r="552" spans="1:19" x14ac:dyDescent="0.2">
      <c r="A552" t="s">
        <v>2571</v>
      </c>
      <c r="B552">
        <v>3498</v>
      </c>
      <c r="C552" t="s">
        <v>26</v>
      </c>
      <c r="D552" t="s">
        <v>2257</v>
      </c>
      <c r="E552" t="s">
        <v>354</v>
      </c>
      <c r="F552" t="s">
        <v>583</v>
      </c>
      <c r="G552" s="2" t="s">
        <v>584</v>
      </c>
      <c r="H552" t="s">
        <v>18</v>
      </c>
      <c r="I552" t="s">
        <v>81</v>
      </c>
      <c r="J552" t="s">
        <v>1230</v>
      </c>
      <c r="K552" t="s">
        <v>930</v>
      </c>
      <c r="L552" t="s">
        <v>930</v>
      </c>
      <c r="M552" t="s">
        <v>1231</v>
      </c>
      <c r="N552" t="s">
        <v>68</v>
      </c>
      <c r="O552" t="s">
        <v>33</v>
      </c>
      <c r="P552" t="s">
        <v>34</v>
      </c>
      <c r="Q552">
        <v>1</v>
      </c>
      <c r="R552">
        <v>0</v>
      </c>
      <c r="S552" s="2" t="str">
        <f>IFERROR(VLOOKUP(C552,Sheet2!B:E,4,0),C552)</f>
        <v>一般产品</v>
      </c>
    </row>
    <row r="553" spans="1:19" x14ac:dyDescent="0.2">
      <c r="A553" t="s">
        <v>2572</v>
      </c>
      <c r="B553">
        <v>2798</v>
      </c>
      <c r="C553" t="s">
        <v>575</v>
      </c>
      <c r="D553" t="s">
        <v>971</v>
      </c>
      <c r="E553" t="s">
        <v>2186</v>
      </c>
      <c r="F553" t="s">
        <v>264</v>
      </c>
      <c r="G553" s="2" t="s">
        <v>265</v>
      </c>
      <c r="H553" t="s">
        <v>18</v>
      </c>
      <c r="I553" t="s">
        <v>179</v>
      </c>
      <c r="J553" t="s">
        <v>180</v>
      </c>
      <c r="K553" t="s">
        <v>930</v>
      </c>
      <c r="L553" t="s">
        <v>930</v>
      </c>
      <c r="M553" t="s">
        <v>181</v>
      </c>
      <c r="N553" t="s">
        <v>38</v>
      </c>
      <c r="O553" t="s">
        <v>39</v>
      </c>
      <c r="P553" t="s">
        <v>25</v>
      </c>
      <c r="Q553">
        <v>1</v>
      </c>
      <c r="R553">
        <v>0</v>
      </c>
      <c r="S553" s="2" t="str">
        <f>IFERROR(VLOOKUP(C553,Sheet2!B:E,4,0),C553)</f>
        <v>优惠产品</v>
      </c>
    </row>
    <row r="554" spans="1:19" x14ac:dyDescent="0.2">
      <c r="A554" t="s">
        <v>2573</v>
      </c>
      <c r="B554">
        <v>2599</v>
      </c>
      <c r="C554" t="s">
        <v>575</v>
      </c>
      <c r="D554" t="s">
        <v>50</v>
      </c>
      <c r="E554" t="s">
        <v>2574</v>
      </c>
      <c r="F554" t="s">
        <v>797</v>
      </c>
      <c r="G554" s="2" t="s">
        <v>798</v>
      </c>
      <c r="H554" t="s">
        <v>18</v>
      </c>
      <c r="I554" t="s">
        <v>250</v>
      </c>
      <c r="J554" t="s">
        <v>251</v>
      </c>
      <c r="K554" t="s">
        <v>930</v>
      </c>
      <c r="L554" t="s">
        <v>930</v>
      </c>
      <c r="M554" t="s">
        <v>252</v>
      </c>
      <c r="N554" t="s">
        <v>44</v>
      </c>
      <c r="O554" t="s">
        <v>24</v>
      </c>
      <c r="P554" t="s">
        <v>25</v>
      </c>
      <c r="Q554">
        <v>1</v>
      </c>
      <c r="R554">
        <v>0</v>
      </c>
      <c r="S554" s="2" t="str">
        <f>IFERROR(VLOOKUP(C554,Sheet2!B:E,4,0),C554)</f>
        <v>优惠产品</v>
      </c>
    </row>
    <row r="555" spans="1:19" x14ac:dyDescent="0.2">
      <c r="A555" t="s">
        <v>2575</v>
      </c>
      <c r="B555">
        <v>4000</v>
      </c>
      <c r="C555" t="s">
        <v>26</v>
      </c>
      <c r="D555" t="s">
        <v>50</v>
      </c>
      <c r="E555" t="s">
        <v>1418</v>
      </c>
      <c r="F555" t="s">
        <v>1351</v>
      </c>
      <c r="G555" s="2" t="s">
        <v>1352</v>
      </c>
      <c r="H555" t="s">
        <v>28</v>
      </c>
      <c r="I555" t="s">
        <v>97</v>
      </c>
      <c r="J555" t="s">
        <v>98</v>
      </c>
      <c r="K555" t="s">
        <v>930</v>
      </c>
      <c r="L555" t="s">
        <v>930</v>
      </c>
      <c r="M555" t="s">
        <v>99</v>
      </c>
      <c r="N555" t="s">
        <v>55</v>
      </c>
      <c r="O555" t="s">
        <v>33</v>
      </c>
      <c r="P555" t="s">
        <v>34</v>
      </c>
      <c r="Q555">
        <v>1</v>
      </c>
      <c r="R555">
        <v>0</v>
      </c>
      <c r="S555" s="2" t="str">
        <f>IFERROR(VLOOKUP(C555,Sheet2!B:E,4,0),C555)</f>
        <v>一般产品</v>
      </c>
    </row>
    <row r="556" spans="1:19" x14ac:dyDescent="0.2">
      <c r="A556" t="s">
        <v>2576</v>
      </c>
      <c r="B556">
        <v>1598</v>
      </c>
      <c r="C556" t="s">
        <v>26</v>
      </c>
      <c r="D556" t="s">
        <v>50</v>
      </c>
      <c r="E556" t="s">
        <v>2577</v>
      </c>
      <c r="F556" t="s">
        <v>2578</v>
      </c>
      <c r="G556" s="2" t="s">
        <v>2579</v>
      </c>
      <c r="H556" t="s">
        <v>28</v>
      </c>
      <c r="I556" t="s">
        <v>408</v>
      </c>
      <c r="J556" t="s">
        <v>1234</v>
      </c>
      <c r="K556" t="s">
        <v>930</v>
      </c>
      <c r="L556" t="s">
        <v>930</v>
      </c>
      <c r="M556" t="s">
        <v>1235</v>
      </c>
      <c r="N556" t="s">
        <v>55</v>
      </c>
      <c r="O556" t="s">
        <v>33</v>
      </c>
      <c r="P556" t="s">
        <v>34</v>
      </c>
      <c r="Q556">
        <v>1</v>
      </c>
      <c r="R556">
        <v>0</v>
      </c>
      <c r="S556" s="2" t="str">
        <f>IFERROR(VLOOKUP(C556,Sheet2!B:E,4,0),C556)</f>
        <v>一般产品</v>
      </c>
    </row>
    <row r="557" spans="1:19" x14ac:dyDescent="0.2">
      <c r="A557" t="s">
        <v>2580</v>
      </c>
      <c r="B557">
        <v>2800</v>
      </c>
      <c r="C557" t="s">
        <v>26</v>
      </c>
      <c r="D557" t="s">
        <v>50</v>
      </c>
      <c r="E557" t="s">
        <v>761</v>
      </c>
      <c r="F557" t="s">
        <v>2487</v>
      </c>
      <c r="G557" s="2" t="s">
        <v>2488</v>
      </c>
      <c r="H557" t="s">
        <v>18</v>
      </c>
      <c r="I557" t="s">
        <v>421</v>
      </c>
      <c r="J557" t="s">
        <v>422</v>
      </c>
      <c r="K557" t="s">
        <v>930</v>
      </c>
      <c r="L557" t="s">
        <v>930</v>
      </c>
      <c r="M557" t="s">
        <v>423</v>
      </c>
      <c r="N557" t="s">
        <v>68</v>
      </c>
      <c r="O557" t="s">
        <v>33</v>
      </c>
      <c r="P557" t="s">
        <v>34</v>
      </c>
      <c r="Q557">
        <v>1</v>
      </c>
      <c r="R557">
        <v>0</v>
      </c>
      <c r="S557" s="2" t="str">
        <f>IFERROR(VLOOKUP(C557,Sheet2!B:E,4,0),C557)</f>
        <v>一般产品</v>
      </c>
    </row>
    <row r="558" spans="1:19" x14ac:dyDescent="0.2">
      <c r="A558" t="s">
        <v>2581</v>
      </c>
      <c r="B558">
        <v>2599</v>
      </c>
      <c r="C558" t="s">
        <v>589</v>
      </c>
      <c r="D558" t="s">
        <v>2257</v>
      </c>
      <c r="E558" t="s">
        <v>2374</v>
      </c>
      <c r="F558" t="s">
        <v>739</v>
      </c>
      <c r="G558" s="2" t="s">
        <v>740</v>
      </c>
      <c r="H558" t="s">
        <v>18</v>
      </c>
      <c r="I558" t="s">
        <v>301</v>
      </c>
      <c r="J558" t="s">
        <v>302</v>
      </c>
      <c r="K558" t="s">
        <v>930</v>
      </c>
      <c r="L558" t="s">
        <v>930</v>
      </c>
      <c r="M558" t="s">
        <v>303</v>
      </c>
      <c r="N558" t="s">
        <v>194</v>
      </c>
      <c r="O558" t="s">
        <v>24</v>
      </c>
      <c r="P558" t="s">
        <v>25</v>
      </c>
      <c r="Q558">
        <v>1</v>
      </c>
      <c r="R558">
        <v>0</v>
      </c>
      <c r="S558" s="2" t="str">
        <f>IFERROR(VLOOKUP(C558,Sheet2!B:E,4,0),C558)</f>
        <v>优惠产品</v>
      </c>
    </row>
    <row r="559" spans="1:19" x14ac:dyDescent="0.2">
      <c r="A559" t="s">
        <v>2582</v>
      </c>
      <c r="B559">
        <v>2998</v>
      </c>
      <c r="C559" t="s">
        <v>580</v>
      </c>
      <c r="D559" t="s">
        <v>971</v>
      </c>
      <c r="E559" t="s">
        <v>1827</v>
      </c>
      <c r="F559" t="s">
        <v>1273</v>
      </c>
      <c r="G559" s="2" t="s">
        <v>1274</v>
      </c>
      <c r="H559" t="s">
        <v>18</v>
      </c>
      <c r="I559" t="s">
        <v>304</v>
      </c>
      <c r="J559" t="s">
        <v>305</v>
      </c>
      <c r="K559" t="s">
        <v>930</v>
      </c>
      <c r="L559" t="s">
        <v>930</v>
      </c>
      <c r="M559" t="s">
        <v>306</v>
      </c>
      <c r="N559" t="s">
        <v>73</v>
      </c>
      <c r="O559" t="s">
        <v>24</v>
      </c>
      <c r="P559" t="s">
        <v>25</v>
      </c>
      <c r="Q559">
        <v>1</v>
      </c>
      <c r="R559">
        <v>0</v>
      </c>
      <c r="S559" s="2" t="str">
        <f>IFERROR(VLOOKUP(C559,Sheet2!B:E,4,0),C559)</f>
        <v>10期贷</v>
      </c>
    </row>
    <row r="560" spans="1:19" x14ac:dyDescent="0.2">
      <c r="A560" t="s">
        <v>2583</v>
      </c>
      <c r="B560">
        <v>2000</v>
      </c>
      <c r="C560" t="s">
        <v>589</v>
      </c>
      <c r="D560" t="s">
        <v>50</v>
      </c>
      <c r="E560" t="s">
        <v>2584</v>
      </c>
      <c r="F560" t="s">
        <v>1758</v>
      </c>
      <c r="G560" s="2" t="s">
        <v>1759</v>
      </c>
      <c r="H560" t="s">
        <v>18</v>
      </c>
      <c r="I560" t="s">
        <v>143</v>
      </c>
      <c r="J560" t="s">
        <v>144</v>
      </c>
      <c r="K560" t="s">
        <v>930</v>
      </c>
      <c r="L560" t="s">
        <v>930</v>
      </c>
      <c r="M560" t="s">
        <v>145</v>
      </c>
      <c r="N560" t="s">
        <v>146</v>
      </c>
      <c r="O560" t="s">
        <v>33</v>
      </c>
      <c r="P560" t="s">
        <v>34</v>
      </c>
      <c r="Q560">
        <v>1</v>
      </c>
      <c r="R560">
        <v>0</v>
      </c>
      <c r="S560" s="2" t="str">
        <f>IFERROR(VLOOKUP(C560,Sheet2!B:E,4,0),C560)</f>
        <v>优惠产品</v>
      </c>
    </row>
    <row r="561" spans="1:19" x14ac:dyDescent="0.2">
      <c r="A561" t="s">
        <v>2585</v>
      </c>
      <c r="B561">
        <v>2810</v>
      </c>
      <c r="C561" t="s">
        <v>26</v>
      </c>
      <c r="D561" t="s">
        <v>50</v>
      </c>
      <c r="E561" t="s">
        <v>1362</v>
      </c>
      <c r="F561" t="s">
        <v>338</v>
      </c>
      <c r="G561" s="2" t="s">
        <v>339</v>
      </c>
      <c r="H561" t="s">
        <v>18</v>
      </c>
      <c r="I561" t="s">
        <v>164</v>
      </c>
      <c r="J561" t="s">
        <v>165</v>
      </c>
      <c r="K561" t="s">
        <v>930</v>
      </c>
      <c r="L561" t="s">
        <v>930</v>
      </c>
      <c r="M561" t="s">
        <v>166</v>
      </c>
      <c r="N561" t="s">
        <v>55</v>
      </c>
      <c r="O561" t="s">
        <v>33</v>
      </c>
      <c r="P561" t="s">
        <v>34</v>
      </c>
      <c r="Q561">
        <v>1</v>
      </c>
      <c r="R561">
        <v>0</v>
      </c>
      <c r="S561" s="2" t="str">
        <f>IFERROR(VLOOKUP(C561,Sheet2!B:E,4,0),C561)</f>
        <v>一般产品</v>
      </c>
    </row>
    <row r="562" spans="1:19" x14ac:dyDescent="0.2">
      <c r="A562" t="s">
        <v>2586</v>
      </c>
      <c r="B562">
        <v>3600</v>
      </c>
      <c r="C562" t="s">
        <v>26</v>
      </c>
      <c r="D562" t="s">
        <v>50</v>
      </c>
      <c r="E562" t="s">
        <v>520</v>
      </c>
      <c r="F562" t="s">
        <v>1010</v>
      </c>
      <c r="G562" s="2" t="s">
        <v>1011</v>
      </c>
      <c r="H562" t="s">
        <v>18</v>
      </c>
      <c r="I562" t="s">
        <v>81</v>
      </c>
      <c r="J562" t="s">
        <v>1230</v>
      </c>
      <c r="K562" t="s">
        <v>930</v>
      </c>
      <c r="L562" t="s">
        <v>930</v>
      </c>
      <c r="M562" t="s">
        <v>1231</v>
      </c>
      <c r="N562" t="s">
        <v>68</v>
      </c>
      <c r="O562" t="s">
        <v>33</v>
      </c>
      <c r="P562" t="s">
        <v>34</v>
      </c>
      <c r="Q562">
        <v>1</v>
      </c>
      <c r="R562">
        <v>0</v>
      </c>
      <c r="S562" s="2" t="str">
        <f>IFERROR(VLOOKUP(C562,Sheet2!B:E,4,0),C562)</f>
        <v>一般产品</v>
      </c>
    </row>
    <row r="563" spans="1:19" x14ac:dyDescent="0.2">
      <c r="A563" t="s">
        <v>2587</v>
      </c>
      <c r="B563">
        <v>2498</v>
      </c>
      <c r="C563" t="s">
        <v>575</v>
      </c>
      <c r="D563" t="s">
        <v>2257</v>
      </c>
      <c r="E563" t="s">
        <v>2588</v>
      </c>
      <c r="F563" t="s">
        <v>433</v>
      </c>
      <c r="G563" s="2" t="s">
        <v>434</v>
      </c>
      <c r="H563" t="s">
        <v>18</v>
      </c>
      <c r="I563" t="s">
        <v>139</v>
      </c>
      <c r="J563" t="s">
        <v>140</v>
      </c>
      <c r="K563" t="s">
        <v>930</v>
      </c>
      <c r="L563" t="s">
        <v>930</v>
      </c>
      <c r="M563" t="s">
        <v>141</v>
      </c>
      <c r="N563" t="s">
        <v>136</v>
      </c>
      <c r="O563" t="s">
        <v>95</v>
      </c>
      <c r="P563" t="s">
        <v>90</v>
      </c>
      <c r="Q563">
        <v>1</v>
      </c>
      <c r="R563">
        <v>0</v>
      </c>
      <c r="S563" s="2" t="str">
        <f>IFERROR(VLOOKUP(C563,Sheet2!B:E,4,0),C563)</f>
        <v>优惠产品</v>
      </c>
    </row>
    <row r="564" spans="1:19" x14ac:dyDescent="0.2">
      <c r="A564" t="s">
        <v>2589</v>
      </c>
      <c r="B564">
        <v>3198</v>
      </c>
      <c r="C564" t="s">
        <v>26</v>
      </c>
      <c r="D564" t="s">
        <v>2257</v>
      </c>
      <c r="E564" t="s">
        <v>521</v>
      </c>
      <c r="F564" t="s">
        <v>578</v>
      </c>
      <c r="G564" s="2" t="s">
        <v>579</v>
      </c>
      <c r="H564" t="s">
        <v>18</v>
      </c>
      <c r="I564" t="s">
        <v>340</v>
      </c>
      <c r="J564" t="s">
        <v>341</v>
      </c>
      <c r="K564" t="s">
        <v>930</v>
      </c>
      <c r="L564" t="s">
        <v>930</v>
      </c>
      <c r="M564" t="s">
        <v>342</v>
      </c>
      <c r="N564" t="s">
        <v>44</v>
      </c>
      <c r="O564" t="s">
        <v>24</v>
      </c>
      <c r="P564" t="s">
        <v>25</v>
      </c>
      <c r="Q564">
        <v>1</v>
      </c>
      <c r="R564">
        <v>0</v>
      </c>
      <c r="S564" s="2" t="str">
        <f>IFERROR(VLOOKUP(C564,Sheet2!B:E,4,0),C564)</f>
        <v>一般产品</v>
      </c>
    </row>
    <row r="565" spans="1:19" x14ac:dyDescent="0.2">
      <c r="A565" t="s">
        <v>2590</v>
      </c>
      <c r="B565">
        <v>2602</v>
      </c>
      <c r="C565" t="s">
        <v>26</v>
      </c>
      <c r="D565" t="s">
        <v>50</v>
      </c>
      <c r="E565" t="s">
        <v>828</v>
      </c>
      <c r="F565" t="s">
        <v>1136</v>
      </c>
      <c r="G565" s="2" t="s">
        <v>1137</v>
      </c>
      <c r="H565" t="s">
        <v>28</v>
      </c>
      <c r="I565" t="s">
        <v>118</v>
      </c>
      <c r="J565" t="s">
        <v>119</v>
      </c>
      <c r="K565" t="s">
        <v>930</v>
      </c>
      <c r="L565" t="s">
        <v>930</v>
      </c>
      <c r="M565" t="s">
        <v>120</v>
      </c>
      <c r="N565" t="s">
        <v>85</v>
      </c>
      <c r="O565" t="s">
        <v>33</v>
      </c>
      <c r="P565" t="s">
        <v>34</v>
      </c>
      <c r="Q565">
        <v>1</v>
      </c>
      <c r="R565">
        <v>0</v>
      </c>
      <c r="S565" s="2" t="str">
        <f>IFERROR(VLOOKUP(C565,Sheet2!B:E,4,0),C565)</f>
        <v>一般产品</v>
      </c>
    </row>
    <row r="566" spans="1:19" x14ac:dyDescent="0.2">
      <c r="A566" t="s">
        <v>2591</v>
      </c>
      <c r="B566">
        <v>1799</v>
      </c>
      <c r="C566" t="s">
        <v>26</v>
      </c>
      <c r="D566" t="s">
        <v>50</v>
      </c>
      <c r="E566" t="s">
        <v>407</v>
      </c>
      <c r="F566" t="s">
        <v>941</v>
      </c>
      <c r="G566" s="2" t="s">
        <v>942</v>
      </c>
      <c r="H566" t="s">
        <v>28</v>
      </c>
      <c r="I566" t="s">
        <v>408</v>
      </c>
      <c r="J566" t="s">
        <v>1234</v>
      </c>
      <c r="K566" t="s">
        <v>930</v>
      </c>
      <c r="L566" t="s">
        <v>930</v>
      </c>
      <c r="M566" t="s">
        <v>1235</v>
      </c>
      <c r="N566" t="s">
        <v>55</v>
      </c>
      <c r="O566" t="s">
        <v>33</v>
      </c>
      <c r="P566" t="s">
        <v>34</v>
      </c>
      <c r="Q566">
        <v>1</v>
      </c>
      <c r="R566">
        <v>0</v>
      </c>
      <c r="S566" s="2" t="str">
        <f>IFERROR(VLOOKUP(C566,Sheet2!B:E,4,0),C566)</f>
        <v>一般产品</v>
      </c>
    </row>
    <row r="567" spans="1:19" x14ac:dyDescent="0.2">
      <c r="A567" t="s">
        <v>2592</v>
      </c>
      <c r="B567">
        <v>3980</v>
      </c>
      <c r="C567" t="s">
        <v>575</v>
      </c>
      <c r="D567" t="s">
        <v>971</v>
      </c>
      <c r="E567" t="s">
        <v>150</v>
      </c>
      <c r="F567" t="s">
        <v>691</v>
      </c>
      <c r="G567" s="2" t="s">
        <v>692</v>
      </c>
      <c r="H567" t="s">
        <v>18</v>
      </c>
      <c r="I567" t="s">
        <v>151</v>
      </c>
      <c r="J567" t="s">
        <v>152</v>
      </c>
      <c r="K567" t="s">
        <v>930</v>
      </c>
      <c r="L567" t="s">
        <v>930</v>
      </c>
      <c r="M567" t="s">
        <v>153</v>
      </c>
      <c r="N567" t="s">
        <v>61</v>
      </c>
      <c r="O567" t="s">
        <v>129</v>
      </c>
      <c r="P567" t="s">
        <v>25</v>
      </c>
      <c r="Q567">
        <v>1</v>
      </c>
      <c r="R567">
        <v>0</v>
      </c>
      <c r="S567" s="2" t="str">
        <f>IFERROR(VLOOKUP(C567,Sheet2!B:E,4,0),C567)</f>
        <v>优惠产品</v>
      </c>
    </row>
    <row r="568" spans="1:19" x14ac:dyDescent="0.2">
      <c r="A568" t="s">
        <v>2593</v>
      </c>
      <c r="B568">
        <v>3850</v>
      </c>
      <c r="C568" t="s">
        <v>575</v>
      </c>
      <c r="D568" t="s">
        <v>971</v>
      </c>
      <c r="E568" t="s">
        <v>2594</v>
      </c>
      <c r="F568" t="s">
        <v>264</v>
      </c>
      <c r="G568" s="2" t="s">
        <v>265</v>
      </c>
      <c r="H568" t="s">
        <v>18</v>
      </c>
      <c r="I568" t="s">
        <v>179</v>
      </c>
      <c r="J568" t="s">
        <v>180</v>
      </c>
      <c r="K568" t="s">
        <v>930</v>
      </c>
      <c r="L568" t="s">
        <v>930</v>
      </c>
      <c r="M568" t="s">
        <v>181</v>
      </c>
      <c r="N568" t="s">
        <v>38</v>
      </c>
      <c r="O568" t="s">
        <v>39</v>
      </c>
      <c r="P568" t="s">
        <v>25</v>
      </c>
      <c r="Q568">
        <v>1</v>
      </c>
      <c r="R568">
        <v>0</v>
      </c>
      <c r="S568" s="2" t="str">
        <f>IFERROR(VLOOKUP(C568,Sheet2!B:E,4,0),C568)</f>
        <v>优惠产品</v>
      </c>
    </row>
    <row r="569" spans="1:19" x14ac:dyDescent="0.2">
      <c r="A569" t="s">
        <v>2595</v>
      </c>
      <c r="B569">
        <v>5099</v>
      </c>
      <c r="C569" t="s">
        <v>26</v>
      </c>
      <c r="D569" t="s">
        <v>971</v>
      </c>
      <c r="E569" t="s">
        <v>2596</v>
      </c>
      <c r="F569" t="s">
        <v>1454</v>
      </c>
      <c r="G569" s="2" t="s">
        <v>1455</v>
      </c>
      <c r="H569" t="s">
        <v>18</v>
      </c>
      <c r="I569" t="s">
        <v>179</v>
      </c>
      <c r="J569" t="s">
        <v>180</v>
      </c>
      <c r="K569" t="s">
        <v>930</v>
      </c>
      <c r="L569" t="s">
        <v>930</v>
      </c>
      <c r="M569" t="s">
        <v>181</v>
      </c>
      <c r="N569" t="s">
        <v>38</v>
      </c>
      <c r="O569" t="s">
        <v>39</v>
      </c>
      <c r="P569" t="s">
        <v>25</v>
      </c>
      <c r="Q569">
        <v>1</v>
      </c>
      <c r="R569">
        <v>0</v>
      </c>
      <c r="S569" s="2" t="str">
        <f>IFERROR(VLOOKUP(C569,Sheet2!B:E,4,0),C569)</f>
        <v>一般产品</v>
      </c>
    </row>
    <row r="570" spans="1:19" x14ac:dyDescent="0.2">
      <c r="A570" t="s">
        <v>2597</v>
      </c>
      <c r="B570">
        <v>2510</v>
      </c>
      <c r="C570" t="s">
        <v>26</v>
      </c>
      <c r="D570" t="s">
        <v>50</v>
      </c>
      <c r="E570" t="s">
        <v>843</v>
      </c>
      <c r="F570" t="s">
        <v>676</v>
      </c>
      <c r="G570" s="2" t="s">
        <v>677</v>
      </c>
      <c r="H570" t="s">
        <v>18</v>
      </c>
      <c r="I570" t="s">
        <v>121</v>
      </c>
      <c r="J570" t="s">
        <v>122</v>
      </c>
      <c r="K570" t="s">
        <v>930</v>
      </c>
      <c r="L570" t="s">
        <v>930</v>
      </c>
      <c r="M570" t="s">
        <v>123</v>
      </c>
      <c r="N570" t="s">
        <v>55</v>
      </c>
      <c r="O570" t="s">
        <v>33</v>
      </c>
      <c r="P570" t="s">
        <v>34</v>
      </c>
      <c r="Q570">
        <v>1</v>
      </c>
      <c r="R570">
        <v>0</v>
      </c>
      <c r="S570" s="2" t="str">
        <f>IFERROR(VLOOKUP(C570,Sheet2!B:E,4,0),C570)</f>
        <v>一般产品</v>
      </c>
    </row>
    <row r="571" spans="1:19" x14ac:dyDescent="0.2">
      <c r="A571" t="s">
        <v>2598</v>
      </c>
      <c r="B571">
        <v>1800</v>
      </c>
      <c r="C571" t="s">
        <v>26</v>
      </c>
      <c r="D571" t="s">
        <v>50</v>
      </c>
      <c r="E571" t="s">
        <v>1197</v>
      </c>
      <c r="F571" t="s">
        <v>1491</v>
      </c>
      <c r="G571" s="2" t="s">
        <v>1492</v>
      </c>
      <c r="H571" t="s">
        <v>18</v>
      </c>
      <c r="I571" t="s">
        <v>107</v>
      </c>
      <c r="J571" t="s">
        <v>1046</v>
      </c>
      <c r="K571" t="s">
        <v>930</v>
      </c>
      <c r="L571" t="s">
        <v>930</v>
      </c>
      <c r="M571" t="s">
        <v>1047</v>
      </c>
      <c r="N571" t="s">
        <v>108</v>
      </c>
      <c r="O571" t="s">
        <v>33</v>
      </c>
      <c r="P571" t="s">
        <v>34</v>
      </c>
      <c r="Q571">
        <v>1</v>
      </c>
      <c r="R571">
        <v>0</v>
      </c>
      <c r="S571" s="2" t="str">
        <f>IFERROR(VLOOKUP(C571,Sheet2!B:E,4,0),C571)</f>
        <v>一般产品</v>
      </c>
    </row>
    <row r="572" spans="1:19" x14ac:dyDescent="0.2">
      <c r="A572" t="s">
        <v>2599</v>
      </c>
      <c r="B572">
        <v>1700</v>
      </c>
      <c r="C572" t="s">
        <v>26</v>
      </c>
      <c r="D572" t="s">
        <v>50</v>
      </c>
      <c r="E572" t="s">
        <v>2600</v>
      </c>
      <c r="F572" t="s">
        <v>2601</v>
      </c>
      <c r="G572" s="2" t="s">
        <v>2602</v>
      </c>
      <c r="H572" t="s">
        <v>18</v>
      </c>
      <c r="I572" t="s">
        <v>401</v>
      </c>
      <c r="J572" t="s">
        <v>402</v>
      </c>
      <c r="K572" t="s">
        <v>930</v>
      </c>
      <c r="L572" t="s">
        <v>930</v>
      </c>
      <c r="M572" t="s">
        <v>403</v>
      </c>
      <c r="N572" t="s">
        <v>68</v>
      </c>
      <c r="O572" t="s">
        <v>33</v>
      </c>
      <c r="P572" t="s">
        <v>34</v>
      </c>
      <c r="Q572">
        <v>1</v>
      </c>
      <c r="R572">
        <v>0</v>
      </c>
      <c r="S572" s="2" t="str">
        <f>IFERROR(VLOOKUP(C572,Sheet2!B:E,4,0),C572)</f>
        <v>一般产品</v>
      </c>
    </row>
    <row r="573" spans="1:19" x14ac:dyDescent="0.2">
      <c r="A573" t="s">
        <v>2603</v>
      </c>
      <c r="B573">
        <v>3950</v>
      </c>
      <c r="C573" t="s">
        <v>575</v>
      </c>
      <c r="D573" t="s">
        <v>2257</v>
      </c>
      <c r="E573" t="s">
        <v>2604</v>
      </c>
      <c r="F573" t="s">
        <v>833</v>
      </c>
      <c r="G573" s="2" t="s">
        <v>834</v>
      </c>
      <c r="H573" t="s">
        <v>18</v>
      </c>
      <c r="I573" t="s">
        <v>186</v>
      </c>
      <c r="J573" t="s">
        <v>187</v>
      </c>
      <c r="K573" t="s">
        <v>930</v>
      </c>
      <c r="L573" t="s">
        <v>930</v>
      </c>
      <c r="M573" t="s">
        <v>188</v>
      </c>
      <c r="N573" t="s">
        <v>136</v>
      </c>
      <c r="O573" t="s">
        <v>95</v>
      </c>
      <c r="P573" t="s">
        <v>90</v>
      </c>
      <c r="Q573">
        <v>1</v>
      </c>
      <c r="R573">
        <v>0</v>
      </c>
      <c r="S573" s="2" t="str">
        <f>IFERROR(VLOOKUP(C573,Sheet2!B:E,4,0),C573)</f>
        <v>优惠产品</v>
      </c>
    </row>
    <row r="574" spans="1:19" x14ac:dyDescent="0.2">
      <c r="A574" t="s">
        <v>2605</v>
      </c>
      <c r="B574">
        <v>2399</v>
      </c>
      <c r="C574" t="s">
        <v>26</v>
      </c>
      <c r="D574" t="s">
        <v>2257</v>
      </c>
      <c r="E574" t="s">
        <v>2606</v>
      </c>
      <c r="F574" t="s">
        <v>1138</v>
      </c>
      <c r="G574" s="2" t="s">
        <v>1139</v>
      </c>
      <c r="H574" t="s">
        <v>18</v>
      </c>
      <c r="I574" t="s">
        <v>186</v>
      </c>
      <c r="J574" t="s">
        <v>187</v>
      </c>
      <c r="K574" t="s">
        <v>930</v>
      </c>
      <c r="L574" t="s">
        <v>930</v>
      </c>
      <c r="M574" t="s">
        <v>188</v>
      </c>
      <c r="N574" t="s">
        <v>136</v>
      </c>
      <c r="O574" t="s">
        <v>95</v>
      </c>
      <c r="P574" t="s">
        <v>90</v>
      </c>
      <c r="Q574">
        <v>1</v>
      </c>
      <c r="R574">
        <v>0</v>
      </c>
      <c r="S574" s="2" t="str">
        <f>IFERROR(VLOOKUP(C574,Sheet2!B:E,4,0),C574)</f>
        <v>一般产品</v>
      </c>
    </row>
    <row r="575" spans="1:19" x14ac:dyDescent="0.2">
      <c r="A575" t="s">
        <v>2607</v>
      </c>
      <c r="B575">
        <v>2980</v>
      </c>
      <c r="C575" t="s">
        <v>575</v>
      </c>
      <c r="D575" t="s">
        <v>971</v>
      </c>
      <c r="E575" t="s">
        <v>2554</v>
      </c>
      <c r="F575" t="s">
        <v>712</v>
      </c>
      <c r="G575" s="2" t="s">
        <v>713</v>
      </c>
      <c r="H575" t="s">
        <v>18</v>
      </c>
      <c r="I575" t="s">
        <v>35</v>
      </c>
      <c r="J575" t="s">
        <v>36</v>
      </c>
      <c r="K575" t="s">
        <v>930</v>
      </c>
      <c r="L575" t="s">
        <v>930</v>
      </c>
      <c r="M575" t="s">
        <v>37</v>
      </c>
      <c r="N575" t="s">
        <v>38</v>
      </c>
      <c r="O575" t="s">
        <v>39</v>
      </c>
      <c r="P575" t="s">
        <v>25</v>
      </c>
      <c r="Q575">
        <v>1</v>
      </c>
      <c r="R575">
        <v>0</v>
      </c>
      <c r="S575" s="2" t="str">
        <f>IFERROR(VLOOKUP(C575,Sheet2!B:E,4,0),C575)</f>
        <v>优惠产品</v>
      </c>
    </row>
    <row r="576" spans="1:19" x14ac:dyDescent="0.2">
      <c r="A576" t="s">
        <v>2608</v>
      </c>
      <c r="B576">
        <v>2600</v>
      </c>
      <c r="C576" t="s">
        <v>26</v>
      </c>
      <c r="D576" t="s">
        <v>2257</v>
      </c>
      <c r="E576" t="s">
        <v>2609</v>
      </c>
      <c r="F576" t="s">
        <v>2610</v>
      </c>
      <c r="G576" s="2" t="s">
        <v>2611</v>
      </c>
      <c r="H576" t="s">
        <v>18</v>
      </c>
      <c r="I576" t="s">
        <v>930</v>
      </c>
      <c r="J576" t="s">
        <v>930</v>
      </c>
      <c r="K576" t="s">
        <v>163</v>
      </c>
      <c r="L576" t="s">
        <v>930</v>
      </c>
      <c r="M576" t="s">
        <v>931</v>
      </c>
      <c r="N576" t="s">
        <v>68</v>
      </c>
      <c r="O576" t="s">
        <v>33</v>
      </c>
      <c r="P576" t="s">
        <v>34</v>
      </c>
      <c r="Q576">
        <v>1</v>
      </c>
      <c r="R576">
        <v>0</v>
      </c>
      <c r="S576" s="2" t="str">
        <f>IFERROR(VLOOKUP(C576,Sheet2!B:E,4,0),C576)</f>
        <v>一般产品</v>
      </c>
    </row>
    <row r="577" spans="1:19" x14ac:dyDescent="0.2">
      <c r="A577" t="s">
        <v>2612</v>
      </c>
      <c r="B577">
        <v>1200</v>
      </c>
      <c r="C577" t="s">
        <v>26</v>
      </c>
      <c r="D577" t="s">
        <v>50</v>
      </c>
      <c r="E577" t="s">
        <v>628</v>
      </c>
      <c r="F577" t="s">
        <v>974</v>
      </c>
      <c r="G577" s="2" t="s">
        <v>975</v>
      </c>
      <c r="H577" t="s">
        <v>18</v>
      </c>
      <c r="I577" t="s">
        <v>930</v>
      </c>
      <c r="J577" t="s">
        <v>930</v>
      </c>
      <c r="K577" t="s">
        <v>842</v>
      </c>
      <c r="L577" t="s">
        <v>930</v>
      </c>
      <c r="M577" t="s">
        <v>932</v>
      </c>
      <c r="N577" t="s">
        <v>85</v>
      </c>
      <c r="O577" t="s">
        <v>33</v>
      </c>
      <c r="P577" t="s">
        <v>34</v>
      </c>
      <c r="Q577">
        <v>1</v>
      </c>
      <c r="R577">
        <v>0</v>
      </c>
      <c r="S577" s="2" t="str">
        <f>IFERROR(VLOOKUP(C577,Sheet2!B:E,4,0),C577)</f>
        <v>一般产品</v>
      </c>
    </row>
    <row r="578" spans="1:19" x14ac:dyDescent="0.2">
      <c r="A578" t="s">
        <v>2613</v>
      </c>
      <c r="B578">
        <v>3699</v>
      </c>
      <c r="C578" t="s">
        <v>589</v>
      </c>
      <c r="D578" t="s">
        <v>2257</v>
      </c>
      <c r="E578" t="s">
        <v>2614</v>
      </c>
      <c r="F578" t="s">
        <v>612</v>
      </c>
      <c r="G578" s="2" t="s">
        <v>613</v>
      </c>
      <c r="H578" t="s">
        <v>28</v>
      </c>
      <c r="I578" t="s">
        <v>74</v>
      </c>
      <c r="J578" t="s">
        <v>75</v>
      </c>
      <c r="K578" t="s">
        <v>930</v>
      </c>
      <c r="L578" t="s">
        <v>930</v>
      </c>
      <c r="M578" t="s">
        <v>938</v>
      </c>
      <c r="N578" t="s">
        <v>44</v>
      </c>
      <c r="O578" t="s">
        <v>24</v>
      </c>
      <c r="P578" t="s">
        <v>25</v>
      </c>
      <c r="Q578">
        <v>1</v>
      </c>
      <c r="R578">
        <v>0</v>
      </c>
      <c r="S578" s="2" t="str">
        <f>IFERROR(VLOOKUP(C578,Sheet2!B:E,4,0),C578)</f>
        <v>优惠产品</v>
      </c>
    </row>
    <row r="579" spans="1:19" x14ac:dyDescent="0.2">
      <c r="A579" t="s">
        <v>2615</v>
      </c>
      <c r="B579">
        <v>6268</v>
      </c>
      <c r="C579" t="s">
        <v>589</v>
      </c>
      <c r="D579" t="s">
        <v>2257</v>
      </c>
      <c r="E579" t="s">
        <v>2616</v>
      </c>
      <c r="F579" t="s">
        <v>2617</v>
      </c>
      <c r="G579" s="2" t="s">
        <v>2618</v>
      </c>
      <c r="H579" t="s">
        <v>28</v>
      </c>
      <c r="I579" t="s">
        <v>277</v>
      </c>
      <c r="J579" t="s">
        <v>278</v>
      </c>
      <c r="K579" t="s">
        <v>930</v>
      </c>
      <c r="L579" t="s">
        <v>930</v>
      </c>
      <c r="M579" t="s">
        <v>279</v>
      </c>
      <c r="N579" t="s">
        <v>44</v>
      </c>
      <c r="O579" t="s">
        <v>24</v>
      </c>
      <c r="P579" t="s">
        <v>25</v>
      </c>
      <c r="Q579">
        <v>1</v>
      </c>
      <c r="R579">
        <v>0</v>
      </c>
      <c r="S579" s="2" t="str">
        <f>IFERROR(VLOOKUP(C579,Sheet2!B:E,4,0),C579)</f>
        <v>优惠产品</v>
      </c>
    </row>
    <row r="580" spans="1:19" x14ac:dyDescent="0.2">
      <c r="A580" t="s">
        <v>2619</v>
      </c>
      <c r="B580">
        <v>4000</v>
      </c>
      <c r="C580" t="s">
        <v>26</v>
      </c>
      <c r="D580" t="s">
        <v>50</v>
      </c>
      <c r="E580" t="s">
        <v>2278</v>
      </c>
      <c r="F580" t="s">
        <v>177</v>
      </c>
      <c r="G580" s="2" t="s">
        <v>178</v>
      </c>
      <c r="H580" t="s">
        <v>28</v>
      </c>
      <c r="I580" t="s">
        <v>81</v>
      </c>
      <c r="J580" t="s">
        <v>1230</v>
      </c>
      <c r="K580" t="s">
        <v>930</v>
      </c>
      <c r="L580" t="s">
        <v>930</v>
      </c>
      <c r="M580" t="s">
        <v>1231</v>
      </c>
      <c r="N580" t="s">
        <v>68</v>
      </c>
      <c r="O580" t="s">
        <v>33</v>
      </c>
      <c r="P580" t="s">
        <v>34</v>
      </c>
      <c r="Q580">
        <v>1</v>
      </c>
      <c r="R580">
        <v>0</v>
      </c>
      <c r="S580" s="2" t="str">
        <f>IFERROR(VLOOKUP(C580,Sheet2!B:E,4,0),C580)</f>
        <v>一般产品</v>
      </c>
    </row>
    <row r="581" spans="1:19" x14ac:dyDescent="0.2">
      <c r="A581" t="s">
        <v>2620</v>
      </c>
      <c r="B581">
        <v>3498</v>
      </c>
      <c r="C581" t="s">
        <v>575</v>
      </c>
      <c r="D581" t="s">
        <v>2257</v>
      </c>
      <c r="E581" t="s">
        <v>1476</v>
      </c>
      <c r="F581" t="s">
        <v>784</v>
      </c>
      <c r="G581" s="2" t="s">
        <v>785</v>
      </c>
      <c r="H581" t="s">
        <v>18</v>
      </c>
      <c r="I581" t="s">
        <v>139</v>
      </c>
      <c r="J581" t="s">
        <v>140</v>
      </c>
      <c r="K581" t="s">
        <v>930</v>
      </c>
      <c r="L581" t="s">
        <v>930</v>
      </c>
      <c r="M581" t="s">
        <v>141</v>
      </c>
      <c r="N581" t="s">
        <v>136</v>
      </c>
      <c r="O581" t="s">
        <v>95</v>
      </c>
      <c r="P581" t="s">
        <v>90</v>
      </c>
      <c r="Q581">
        <v>1</v>
      </c>
      <c r="R581">
        <v>0</v>
      </c>
      <c r="S581" s="2" t="str">
        <f>IFERROR(VLOOKUP(C581,Sheet2!B:E,4,0),C581)</f>
        <v>优惠产品</v>
      </c>
    </row>
    <row r="582" spans="1:19" x14ac:dyDescent="0.2">
      <c r="A582" t="s">
        <v>2621</v>
      </c>
      <c r="B582">
        <v>1599</v>
      </c>
      <c r="C582" t="s">
        <v>589</v>
      </c>
      <c r="D582" t="s">
        <v>971</v>
      </c>
      <c r="E582" t="s">
        <v>660</v>
      </c>
      <c r="F582" t="s">
        <v>2312</v>
      </c>
      <c r="G582" s="2" t="s">
        <v>2313</v>
      </c>
      <c r="H582" t="s">
        <v>18</v>
      </c>
      <c r="I582" t="s">
        <v>191</v>
      </c>
      <c r="J582" t="s">
        <v>192</v>
      </c>
      <c r="K582" t="s">
        <v>930</v>
      </c>
      <c r="L582" t="s">
        <v>930</v>
      </c>
      <c r="M582" t="s">
        <v>193</v>
      </c>
      <c r="N582" t="s">
        <v>194</v>
      </c>
      <c r="O582" t="s">
        <v>24</v>
      </c>
      <c r="P582" t="s">
        <v>25</v>
      </c>
      <c r="Q582">
        <v>1</v>
      </c>
      <c r="R582">
        <v>0</v>
      </c>
      <c r="S582" s="2" t="str">
        <f>IFERROR(VLOOKUP(C582,Sheet2!B:E,4,0),C582)</f>
        <v>优惠产品</v>
      </c>
    </row>
    <row r="583" spans="1:19" x14ac:dyDescent="0.2">
      <c r="A583" t="s">
        <v>2622</v>
      </c>
      <c r="B583">
        <v>4000</v>
      </c>
      <c r="C583" t="s">
        <v>26</v>
      </c>
      <c r="D583" t="s">
        <v>50</v>
      </c>
      <c r="E583" t="s">
        <v>2623</v>
      </c>
      <c r="F583" t="s">
        <v>1096</v>
      </c>
      <c r="G583" s="2" t="s">
        <v>1097</v>
      </c>
      <c r="H583" t="s">
        <v>18</v>
      </c>
      <c r="I583" t="s">
        <v>130</v>
      </c>
      <c r="J583" t="s">
        <v>131</v>
      </c>
      <c r="K583" t="s">
        <v>930</v>
      </c>
      <c r="L583" t="s">
        <v>930</v>
      </c>
      <c r="M583" t="s">
        <v>132</v>
      </c>
      <c r="N583" t="s">
        <v>51</v>
      </c>
      <c r="O583" t="s">
        <v>33</v>
      </c>
      <c r="P583" t="s">
        <v>34</v>
      </c>
      <c r="Q583">
        <v>1</v>
      </c>
      <c r="R583">
        <v>0</v>
      </c>
      <c r="S583" s="2" t="str">
        <f>IFERROR(VLOOKUP(C583,Sheet2!B:E,4,0),C583)</f>
        <v>一般产品</v>
      </c>
    </row>
    <row r="584" spans="1:19" x14ac:dyDescent="0.2">
      <c r="A584" t="s">
        <v>2624</v>
      </c>
      <c r="B584">
        <v>2499</v>
      </c>
      <c r="C584" t="s">
        <v>26</v>
      </c>
      <c r="D584" t="s">
        <v>50</v>
      </c>
      <c r="E584" t="s">
        <v>1485</v>
      </c>
      <c r="F584" t="s">
        <v>840</v>
      </c>
      <c r="G584" s="2" t="s">
        <v>841</v>
      </c>
      <c r="H584" t="s">
        <v>18</v>
      </c>
      <c r="I584" t="s">
        <v>207</v>
      </c>
      <c r="J584" t="s">
        <v>208</v>
      </c>
      <c r="K584" t="s">
        <v>930</v>
      </c>
      <c r="L584" t="s">
        <v>930</v>
      </c>
      <c r="M584" t="s">
        <v>209</v>
      </c>
      <c r="N584" t="s">
        <v>32</v>
      </c>
      <c r="O584" t="s">
        <v>33</v>
      </c>
      <c r="P584" t="s">
        <v>34</v>
      </c>
      <c r="Q584">
        <v>1</v>
      </c>
      <c r="R584">
        <v>0</v>
      </c>
      <c r="S584" s="2" t="str">
        <f>IFERROR(VLOOKUP(C584,Sheet2!B:E,4,0),C584)</f>
        <v>一般产品</v>
      </c>
    </row>
    <row r="585" spans="1:19" x14ac:dyDescent="0.2">
      <c r="A585" t="s">
        <v>2625</v>
      </c>
      <c r="B585">
        <v>2000</v>
      </c>
      <c r="C585" t="s">
        <v>26</v>
      </c>
      <c r="D585" t="s">
        <v>50</v>
      </c>
      <c r="E585" t="s">
        <v>1030</v>
      </c>
      <c r="F585" t="s">
        <v>2337</v>
      </c>
      <c r="G585" s="2" t="s">
        <v>2338</v>
      </c>
      <c r="H585" t="s">
        <v>28</v>
      </c>
      <c r="I585" t="s">
        <v>198</v>
      </c>
      <c r="J585" t="s">
        <v>199</v>
      </c>
      <c r="K585" t="s">
        <v>930</v>
      </c>
      <c r="L585" t="s">
        <v>930</v>
      </c>
      <c r="M585" t="s">
        <v>1048</v>
      </c>
      <c r="N585" t="s">
        <v>108</v>
      </c>
      <c r="O585" t="s">
        <v>33</v>
      </c>
      <c r="P585" t="s">
        <v>34</v>
      </c>
      <c r="Q585">
        <v>1</v>
      </c>
      <c r="R585">
        <v>0</v>
      </c>
      <c r="S585" s="2" t="str">
        <f>IFERROR(VLOOKUP(C585,Sheet2!B:E,4,0),C585)</f>
        <v>一般产品</v>
      </c>
    </row>
    <row r="586" spans="1:19" x14ac:dyDescent="0.2">
      <c r="A586" t="s">
        <v>2626</v>
      </c>
      <c r="B586">
        <v>3000</v>
      </c>
      <c r="C586" t="s">
        <v>26</v>
      </c>
      <c r="D586" t="s">
        <v>50</v>
      </c>
      <c r="E586" t="s">
        <v>1140</v>
      </c>
      <c r="F586" t="s">
        <v>1495</v>
      </c>
      <c r="G586" s="2" t="s">
        <v>1496</v>
      </c>
      <c r="H586" t="s">
        <v>28</v>
      </c>
      <c r="I586" t="s">
        <v>930</v>
      </c>
      <c r="J586" t="s">
        <v>930</v>
      </c>
      <c r="K586" t="s">
        <v>79</v>
      </c>
      <c r="L586" t="s">
        <v>930</v>
      </c>
      <c r="M586" t="s">
        <v>80</v>
      </c>
      <c r="N586" t="s">
        <v>51</v>
      </c>
      <c r="O586" t="s">
        <v>33</v>
      </c>
      <c r="P586" t="s">
        <v>34</v>
      </c>
      <c r="Q586">
        <v>1</v>
      </c>
      <c r="R586">
        <v>0</v>
      </c>
      <c r="S586" s="2" t="str">
        <f>IFERROR(VLOOKUP(C586,Sheet2!B:E,4,0),C586)</f>
        <v>一般产品</v>
      </c>
    </row>
    <row r="587" spans="1:19" x14ac:dyDescent="0.2">
      <c r="A587" t="s">
        <v>2627</v>
      </c>
      <c r="B587">
        <v>3498</v>
      </c>
      <c r="C587" t="s">
        <v>26</v>
      </c>
      <c r="D587" t="s">
        <v>50</v>
      </c>
      <c r="E587" t="s">
        <v>1264</v>
      </c>
      <c r="F587" t="s">
        <v>391</v>
      </c>
      <c r="G587" s="2" t="s">
        <v>392</v>
      </c>
      <c r="H587" t="s">
        <v>18</v>
      </c>
      <c r="I587" t="s">
        <v>934</v>
      </c>
      <c r="J587" t="s">
        <v>935</v>
      </c>
      <c r="K587" t="s">
        <v>930</v>
      </c>
      <c r="L587" t="s">
        <v>930</v>
      </c>
      <c r="M587" t="s">
        <v>936</v>
      </c>
      <c r="N587" t="s">
        <v>45</v>
      </c>
      <c r="O587" t="s">
        <v>48</v>
      </c>
      <c r="P587" t="s">
        <v>49</v>
      </c>
      <c r="Q587">
        <v>1</v>
      </c>
      <c r="R587">
        <v>0</v>
      </c>
      <c r="S587" s="2" t="str">
        <f>IFERROR(VLOOKUP(C587,Sheet2!B:E,4,0),C587)</f>
        <v>一般产品</v>
      </c>
    </row>
    <row r="588" spans="1:19" x14ac:dyDescent="0.2">
      <c r="A588" t="s">
        <v>2628</v>
      </c>
      <c r="B588">
        <v>1798</v>
      </c>
      <c r="C588" t="s">
        <v>575</v>
      </c>
      <c r="D588" t="s">
        <v>50</v>
      </c>
      <c r="E588" t="s">
        <v>1169</v>
      </c>
      <c r="F588" t="s">
        <v>1005</v>
      </c>
      <c r="G588" s="2" t="s">
        <v>489</v>
      </c>
      <c r="H588" t="s">
        <v>18</v>
      </c>
      <c r="I588" t="s">
        <v>111</v>
      </c>
      <c r="J588" t="s">
        <v>112</v>
      </c>
      <c r="K588" t="s">
        <v>930</v>
      </c>
      <c r="L588" t="s">
        <v>930</v>
      </c>
      <c r="M588" t="s">
        <v>113</v>
      </c>
      <c r="N588" t="s">
        <v>114</v>
      </c>
      <c r="O588" t="s">
        <v>24</v>
      </c>
      <c r="P588" t="s">
        <v>25</v>
      </c>
      <c r="Q588">
        <v>1</v>
      </c>
      <c r="R588">
        <v>0</v>
      </c>
      <c r="S588" s="2" t="str">
        <f>IFERROR(VLOOKUP(C588,Sheet2!B:E,4,0),C588)</f>
        <v>优惠产品</v>
      </c>
    </row>
    <row r="589" spans="1:19" x14ac:dyDescent="0.2">
      <c r="A589" t="s">
        <v>2629</v>
      </c>
      <c r="B589">
        <v>3198</v>
      </c>
      <c r="C589" t="s">
        <v>575</v>
      </c>
      <c r="D589" t="s">
        <v>50</v>
      </c>
      <c r="E589" t="s">
        <v>1457</v>
      </c>
      <c r="F589" t="s">
        <v>109</v>
      </c>
      <c r="G589" s="2" t="s">
        <v>110</v>
      </c>
      <c r="H589" t="s">
        <v>18</v>
      </c>
      <c r="I589" t="s">
        <v>111</v>
      </c>
      <c r="J589" t="s">
        <v>112</v>
      </c>
      <c r="K589" t="s">
        <v>930</v>
      </c>
      <c r="L589" t="s">
        <v>930</v>
      </c>
      <c r="M589" t="s">
        <v>113</v>
      </c>
      <c r="N589" t="s">
        <v>114</v>
      </c>
      <c r="O589" t="s">
        <v>24</v>
      </c>
      <c r="P589" t="s">
        <v>25</v>
      </c>
      <c r="Q589">
        <v>1</v>
      </c>
      <c r="R589">
        <v>0</v>
      </c>
      <c r="S589" s="2" t="str">
        <f>IFERROR(VLOOKUP(C589,Sheet2!B:E,4,0),C589)</f>
        <v>优惠产品</v>
      </c>
    </row>
    <row r="590" spans="1:19" x14ac:dyDescent="0.2">
      <c r="A590" t="s">
        <v>2630</v>
      </c>
      <c r="B590">
        <v>1798</v>
      </c>
      <c r="C590" t="s">
        <v>26</v>
      </c>
      <c r="D590" t="s">
        <v>50</v>
      </c>
      <c r="E590" t="s">
        <v>407</v>
      </c>
      <c r="F590" t="s">
        <v>620</v>
      </c>
      <c r="G590" s="2" t="s">
        <v>621</v>
      </c>
      <c r="H590" t="s">
        <v>28</v>
      </c>
      <c r="I590" t="s">
        <v>408</v>
      </c>
      <c r="J590" t="s">
        <v>1234</v>
      </c>
      <c r="K590" t="s">
        <v>930</v>
      </c>
      <c r="L590" t="s">
        <v>930</v>
      </c>
      <c r="M590" t="s">
        <v>1235</v>
      </c>
      <c r="N590" t="s">
        <v>55</v>
      </c>
      <c r="O590" t="s">
        <v>33</v>
      </c>
      <c r="P590" t="s">
        <v>34</v>
      </c>
      <c r="Q590">
        <v>1</v>
      </c>
      <c r="R590">
        <v>0</v>
      </c>
      <c r="S590" s="2" t="str">
        <f>IFERROR(VLOOKUP(C590,Sheet2!B:E,4,0),C590)</f>
        <v>一般产品</v>
      </c>
    </row>
    <row r="591" spans="1:19" x14ac:dyDescent="0.2">
      <c r="A591" t="s">
        <v>2631</v>
      </c>
      <c r="B591">
        <v>1800</v>
      </c>
      <c r="C591" t="s">
        <v>26</v>
      </c>
      <c r="D591" t="s">
        <v>50</v>
      </c>
      <c r="E591" t="s">
        <v>324</v>
      </c>
      <c r="F591" t="s">
        <v>1491</v>
      </c>
      <c r="G591" s="2" t="s">
        <v>1492</v>
      </c>
      <c r="H591" t="s">
        <v>18</v>
      </c>
      <c r="I591" t="s">
        <v>107</v>
      </c>
      <c r="J591" t="s">
        <v>1046</v>
      </c>
      <c r="K591" t="s">
        <v>930</v>
      </c>
      <c r="L591" t="s">
        <v>930</v>
      </c>
      <c r="M591" t="s">
        <v>1047</v>
      </c>
      <c r="N591" t="s">
        <v>108</v>
      </c>
      <c r="O591" t="s">
        <v>33</v>
      </c>
      <c r="P591" t="s">
        <v>34</v>
      </c>
      <c r="Q591">
        <v>1</v>
      </c>
      <c r="R591">
        <v>0</v>
      </c>
      <c r="S591" s="2" t="str">
        <f>IFERROR(VLOOKUP(C591,Sheet2!B:E,4,0),C591)</f>
        <v>一般产品</v>
      </c>
    </row>
    <row r="592" spans="1:19" x14ac:dyDescent="0.2">
      <c r="A592" t="s">
        <v>2632</v>
      </c>
      <c r="B592">
        <v>3198</v>
      </c>
      <c r="C592" t="s">
        <v>575</v>
      </c>
      <c r="D592" t="s">
        <v>50</v>
      </c>
      <c r="E592" t="s">
        <v>964</v>
      </c>
      <c r="F592" t="s">
        <v>514</v>
      </c>
      <c r="G592" s="2" t="s">
        <v>515</v>
      </c>
      <c r="H592" t="s">
        <v>18</v>
      </c>
      <c r="I592" t="s">
        <v>216</v>
      </c>
      <c r="J592" t="s">
        <v>217</v>
      </c>
      <c r="K592" t="s">
        <v>930</v>
      </c>
      <c r="L592" t="s">
        <v>930</v>
      </c>
      <c r="M592" t="s">
        <v>218</v>
      </c>
      <c r="N592" t="s">
        <v>114</v>
      </c>
      <c r="O592" t="s">
        <v>24</v>
      </c>
      <c r="P592" t="s">
        <v>25</v>
      </c>
      <c r="Q592">
        <v>1</v>
      </c>
      <c r="R592">
        <v>0</v>
      </c>
      <c r="S592" s="2" t="str">
        <f>IFERROR(VLOOKUP(C592,Sheet2!B:E,4,0),C592)</f>
        <v>优惠产品</v>
      </c>
    </row>
    <row r="593" spans="1:19" x14ac:dyDescent="0.2">
      <c r="A593" t="s">
        <v>2633</v>
      </c>
      <c r="B593">
        <v>3898</v>
      </c>
      <c r="C593" t="s">
        <v>26</v>
      </c>
      <c r="D593" t="s">
        <v>971</v>
      </c>
      <c r="E593" t="s">
        <v>2634</v>
      </c>
      <c r="F593" t="s">
        <v>694</v>
      </c>
      <c r="G593" s="2" t="s">
        <v>695</v>
      </c>
      <c r="H593" t="s">
        <v>18</v>
      </c>
      <c r="I593" t="s">
        <v>934</v>
      </c>
      <c r="J593" t="s">
        <v>935</v>
      </c>
      <c r="K593" t="s">
        <v>930</v>
      </c>
      <c r="L593" t="s">
        <v>930</v>
      </c>
      <c r="M593" t="s">
        <v>936</v>
      </c>
      <c r="N593" t="s">
        <v>45</v>
      </c>
      <c r="O593" t="s">
        <v>48</v>
      </c>
      <c r="P593" t="s">
        <v>49</v>
      </c>
      <c r="Q593">
        <v>1</v>
      </c>
      <c r="R593">
        <v>0</v>
      </c>
      <c r="S593" s="2" t="str">
        <f>IFERROR(VLOOKUP(C593,Sheet2!B:E,4,0),C593)</f>
        <v>一般产品</v>
      </c>
    </row>
    <row r="594" spans="1:19" x14ac:dyDescent="0.2">
      <c r="A594" t="s">
        <v>2635</v>
      </c>
      <c r="B594">
        <v>4300</v>
      </c>
      <c r="C594" t="s">
        <v>26</v>
      </c>
      <c r="D594" t="s">
        <v>50</v>
      </c>
      <c r="E594" t="s">
        <v>2636</v>
      </c>
      <c r="F594" t="s">
        <v>219</v>
      </c>
      <c r="G594" s="2" t="s">
        <v>220</v>
      </c>
      <c r="H594" t="s">
        <v>28</v>
      </c>
      <c r="I594" t="s">
        <v>198</v>
      </c>
      <c r="J594" t="s">
        <v>199</v>
      </c>
      <c r="K594" t="s">
        <v>930</v>
      </c>
      <c r="L594" t="s">
        <v>930</v>
      </c>
      <c r="M594" t="s">
        <v>1048</v>
      </c>
      <c r="N594" t="s">
        <v>108</v>
      </c>
      <c r="O594" t="s">
        <v>33</v>
      </c>
      <c r="P594" t="s">
        <v>34</v>
      </c>
      <c r="Q594">
        <v>1</v>
      </c>
      <c r="R594">
        <v>0</v>
      </c>
      <c r="S594" s="2" t="str">
        <f>IFERROR(VLOOKUP(C594,Sheet2!B:E,4,0),C594)</f>
        <v>一般产品</v>
      </c>
    </row>
    <row r="595" spans="1:19" x14ac:dyDescent="0.2">
      <c r="A595" t="s">
        <v>2637</v>
      </c>
      <c r="B595">
        <v>2300</v>
      </c>
      <c r="C595" t="s">
        <v>26</v>
      </c>
      <c r="D595" t="s">
        <v>50</v>
      </c>
      <c r="E595" t="s">
        <v>1413</v>
      </c>
      <c r="F595" t="s">
        <v>758</v>
      </c>
      <c r="G595" s="2" t="s">
        <v>759</v>
      </c>
      <c r="H595" t="s">
        <v>28</v>
      </c>
      <c r="I595" t="s">
        <v>221</v>
      </c>
      <c r="J595" t="s">
        <v>222</v>
      </c>
      <c r="K595" t="s">
        <v>930</v>
      </c>
      <c r="L595" t="s">
        <v>930</v>
      </c>
      <c r="M595" t="s">
        <v>223</v>
      </c>
      <c r="N595" t="s">
        <v>55</v>
      </c>
      <c r="O595" t="s">
        <v>33</v>
      </c>
      <c r="P595" t="s">
        <v>34</v>
      </c>
      <c r="Q595">
        <v>1</v>
      </c>
      <c r="R595">
        <v>0</v>
      </c>
      <c r="S595" s="2" t="str">
        <f>IFERROR(VLOOKUP(C595,Sheet2!B:E,4,0),C595)</f>
        <v>一般产品</v>
      </c>
    </row>
    <row r="596" spans="1:19" x14ac:dyDescent="0.2">
      <c r="A596" t="s">
        <v>2638</v>
      </c>
      <c r="B596">
        <v>2298</v>
      </c>
      <c r="C596" t="s">
        <v>575</v>
      </c>
      <c r="D596" t="s">
        <v>50</v>
      </c>
      <c r="E596" t="s">
        <v>1270</v>
      </c>
      <c r="F596" t="s">
        <v>658</v>
      </c>
      <c r="G596" s="2" t="s">
        <v>659</v>
      </c>
      <c r="H596" t="s">
        <v>18</v>
      </c>
      <c r="I596" t="s">
        <v>304</v>
      </c>
      <c r="J596" t="s">
        <v>305</v>
      </c>
      <c r="K596" t="s">
        <v>930</v>
      </c>
      <c r="L596" t="s">
        <v>930</v>
      </c>
      <c r="M596" t="s">
        <v>306</v>
      </c>
      <c r="N596" t="s">
        <v>73</v>
      </c>
      <c r="O596" t="s">
        <v>24</v>
      </c>
      <c r="P596" t="s">
        <v>25</v>
      </c>
      <c r="Q596">
        <v>1</v>
      </c>
      <c r="R596">
        <v>0</v>
      </c>
      <c r="S596" s="2" t="str">
        <f>IFERROR(VLOOKUP(C596,Sheet2!B:E,4,0),C596)</f>
        <v>优惠产品</v>
      </c>
    </row>
    <row r="597" spans="1:19" x14ac:dyDescent="0.2">
      <c r="A597" t="s">
        <v>2639</v>
      </c>
      <c r="B597">
        <v>2000</v>
      </c>
      <c r="C597" t="s">
        <v>26</v>
      </c>
      <c r="D597" t="s">
        <v>50</v>
      </c>
      <c r="E597" t="s">
        <v>2542</v>
      </c>
      <c r="F597" t="s">
        <v>2543</v>
      </c>
      <c r="G597" s="2" t="s">
        <v>2544</v>
      </c>
      <c r="H597" t="s">
        <v>18</v>
      </c>
      <c r="I597" t="s">
        <v>88</v>
      </c>
      <c r="J597" t="s">
        <v>89</v>
      </c>
      <c r="K597" t="s">
        <v>930</v>
      </c>
      <c r="L597" t="s">
        <v>930</v>
      </c>
      <c r="M597" t="s">
        <v>933</v>
      </c>
      <c r="N597" t="s">
        <v>32</v>
      </c>
      <c r="O597" t="s">
        <v>33</v>
      </c>
      <c r="P597" t="s">
        <v>34</v>
      </c>
      <c r="Q597">
        <v>1</v>
      </c>
      <c r="R597">
        <v>0</v>
      </c>
      <c r="S597" s="2" t="str">
        <f>IFERROR(VLOOKUP(C597,Sheet2!B:E,4,0),C597)</f>
        <v>一般产品</v>
      </c>
    </row>
    <row r="598" spans="1:19" x14ac:dyDescent="0.2">
      <c r="A598" t="s">
        <v>2640</v>
      </c>
      <c r="B598">
        <v>2698</v>
      </c>
      <c r="C598" t="s">
        <v>575</v>
      </c>
      <c r="D598" t="s">
        <v>50</v>
      </c>
      <c r="E598" t="s">
        <v>2641</v>
      </c>
      <c r="F598" t="s">
        <v>835</v>
      </c>
      <c r="G598" s="2" t="s">
        <v>836</v>
      </c>
      <c r="H598" t="s">
        <v>18</v>
      </c>
      <c r="I598" t="s">
        <v>456</v>
      </c>
      <c r="J598" t="s">
        <v>457</v>
      </c>
      <c r="K598" t="s">
        <v>930</v>
      </c>
      <c r="L598" t="s">
        <v>930</v>
      </c>
      <c r="M598" t="s">
        <v>458</v>
      </c>
      <c r="N598" t="s">
        <v>114</v>
      </c>
      <c r="O598" t="s">
        <v>24</v>
      </c>
      <c r="P598" t="s">
        <v>25</v>
      </c>
      <c r="Q598">
        <v>1</v>
      </c>
      <c r="R598">
        <v>0</v>
      </c>
      <c r="S598" s="2" t="str">
        <f>IFERROR(VLOOKUP(C598,Sheet2!B:E,4,0),C598)</f>
        <v>优惠产品</v>
      </c>
    </row>
    <row r="599" spans="1:19" x14ac:dyDescent="0.2">
      <c r="A599" t="s">
        <v>2642</v>
      </c>
      <c r="B599">
        <v>1799</v>
      </c>
      <c r="C599" t="s">
        <v>589</v>
      </c>
      <c r="D599" t="s">
        <v>2257</v>
      </c>
      <c r="E599" t="s">
        <v>2643</v>
      </c>
      <c r="F599" t="s">
        <v>1419</v>
      </c>
      <c r="G599" s="2" t="s">
        <v>1420</v>
      </c>
      <c r="H599" t="s">
        <v>18</v>
      </c>
      <c r="I599" t="s">
        <v>76</v>
      </c>
      <c r="J599" t="s">
        <v>77</v>
      </c>
      <c r="K599" t="s">
        <v>930</v>
      </c>
      <c r="L599" t="s">
        <v>930</v>
      </c>
      <c r="M599" t="s">
        <v>78</v>
      </c>
      <c r="N599" t="s">
        <v>44</v>
      </c>
      <c r="O599" t="s">
        <v>24</v>
      </c>
      <c r="P599" t="s">
        <v>25</v>
      </c>
      <c r="Q599">
        <v>1</v>
      </c>
      <c r="R599">
        <v>0</v>
      </c>
      <c r="S599" s="2" t="str">
        <f>IFERROR(VLOOKUP(C599,Sheet2!B:E,4,0),C599)</f>
        <v>优惠产品</v>
      </c>
    </row>
    <row r="600" spans="1:19" x14ac:dyDescent="0.2">
      <c r="A600" t="s">
        <v>2644</v>
      </c>
      <c r="B600">
        <v>999</v>
      </c>
      <c r="C600" t="s">
        <v>26</v>
      </c>
      <c r="D600" t="s">
        <v>970</v>
      </c>
      <c r="E600" t="s">
        <v>2645</v>
      </c>
      <c r="F600" t="s">
        <v>2646</v>
      </c>
      <c r="G600" s="2" t="s">
        <v>2647</v>
      </c>
      <c r="H600" t="s">
        <v>18</v>
      </c>
      <c r="I600" t="s">
        <v>930</v>
      </c>
      <c r="J600" t="s">
        <v>930</v>
      </c>
      <c r="K600" t="s">
        <v>230</v>
      </c>
      <c r="L600" t="s">
        <v>930</v>
      </c>
      <c r="M600" t="s">
        <v>231</v>
      </c>
      <c r="N600" t="s">
        <v>47</v>
      </c>
      <c r="O600" t="s">
        <v>33</v>
      </c>
      <c r="P600" t="s">
        <v>34</v>
      </c>
      <c r="Q600">
        <v>1</v>
      </c>
      <c r="R600">
        <v>0</v>
      </c>
      <c r="S600" s="2" t="str">
        <f>IFERROR(VLOOKUP(C600,Sheet2!B:E,4,0),C600)</f>
        <v>一般产品</v>
      </c>
    </row>
    <row r="601" spans="1:19" x14ac:dyDescent="0.2">
      <c r="A601" t="s">
        <v>2648</v>
      </c>
      <c r="B601">
        <v>1500</v>
      </c>
      <c r="C601" t="s">
        <v>26</v>
      </c>
      <c r="D601" t="s">
        <v>50</v>
      </c>
      <c r="E601" t="s">
        <v>2649</v>
      </c>
      <c r="F601" t="s">
        <v>730</v>
      </c>
      <c r="G601" s="2" t="s">
        <v>731</v>
      </c>
      <c r="H601" t="s">
        <v>18</v>
      </c>
      <c r="I601" t="s">
        <v>88</v>
      </c>
      <c r="J601" t="s">
        <v>89</v>
      </c>
      <c r="K601" t="s">
        <v>930</v>
      </c>
      <c r="L601" t="s">
        <v>930</v>
      </c>
      <c r="M601" t="s">
        <v>933</v>
      </c>
      <c r="N601" t="s">
        <v>32</v>
      </c>
      <c r="O601" t="s">
        <v>33</v>
      </c>
      <c r="P601" t="s">
        <v>34</v>
      </c>
      <c r="Q601">
        <v>1</v>
      </c>
      <c r="R601">
        <v>0</v>
      </c>
      <c r="S601" s="2" t="str">
        <f>IFERROR(VLOOKUP(C601,Sheet2!B:E,4,0),C601)</f>
        <v>一般产品</v>
      </c>
    </row>
    <row r="602" spans="1:19" x14ac:dyDescent="0.2">
      <c r="A602" t="s">
        <v>2650</v>
      </c>
      <c r="B602">
        <v>2799</v>
      </c>
      <c r="C602" t="s">
        <v>26</v>
      </c>
      <c r="D602" t="s">
        <v>50</v>
      </c>
      <c r="E602" t="s">
        <v>2651</v>
      </c>
      <c r="F602" t="s">
        <v>2652</v>
      </c>
      <c r="G602" s="2" t="s">
        <v>2653</v>
      </c>
      <c r="H602" t="s">
        <v>28</v>
      </c>
      <c r="I602" t="s">
        <v>207</v>
      </c>
      <c r="J602" t="s">
        <v>208</v>
      </c>
      <c r="K602" t="s">
        <v>930</v>
      </c>
      <c r="L602" t="s">
        <v>930</v>
      </c>
      <c r="M602" t="s">
        <v>209</v>
      </c>
      <c r="N602" t="s">
        <v>32</v>
      </c>
      <c r="O602" t="s">
        <v>33</v>
      </c>
      <c r="P602" t="s">
        <v>34</v>
      </c>
      <c r="Q602">
        <v>1</v>
      </c>
      <c r="R602">
        <v>0</v>
      </c>
      <c r="S602" s="2" t="str">
        <f>IFERROR(VLOOKUP(C602,Sheet2!B:E,4,0),C602)</f>
        <v>一般产品</v>
      </c>
    </row>
    <row r="603" spans="1:19" x14ac:dyDescent="0.2">
      <c r="A603" t="s">
        <v>2654</v>
      </c>
      <c r="B603">
        <v>2999</v>
      </c>
      <c r="C603" t="s">
        <v>589</v>
      </c>
      <c r="D603" t="s">
        <v>2257</v>
      </c>
      <c r="E603" t="s">
        <v>1110</v>
      </c>
      <c r="F603" t="s">
        <v>1292</v>
      </c>
      <c r="G603" s="2" t="s">
        <v>1293</v>
      </c>
      <c r="H603" t="s">
        <v>18</v>
      </c>
      <c r="I603" t="s">
        <v>74</v>
      </c>
      <c r="J603" t="s">
        <v>75</v>
      </c>
      <c r="K603" t="s">
        <v>930</v>
      </c>
      <c r="L603" t="s">
        <v>930</v>
      </c>
      <c r="M603" t="s">
        <v>938</v>
      </c>
      <c r="N603" t="s">
        <v>44</v>
      </c>
      <c r="O603" t="s">
        <v>24</v>
      </c>
      <c r="P603" t="s">
        <v>25</v>
      </c>
      <c r="Q603">
        <v>1</v>
      </c>
      <c r="R603">
        <v>0</v>
      </c>
      <c r="S603" s="2" t="str">
        <f>IFERROR(VLOOKUP(C603,Sheet2!B:E,4,0),C603)</f>
        <v>优惠产品</v>
      </c>
    </row>
    <row r="604" spans="1:19" x14ac:dyDescent="0.2">
      <c r="A604" t="s">
        <v>2655</v>
      </c>
      <c r="B604">
        <v>1700</v>
      </c>
      <c r="C604" t="s">
        <v>26</v>
      </c>
      <c r="D604" t="s">
        <v>50</v>
      </c>
      <c r="E604" t="s">
        <v>2656</v>
      </c>
      <c r="F604" t="s">
        <v>2657</v>
      </c>
      <c r="G604" s="2" t="s">
        <v>2658</v>
      </c>
      <c r="H604" t="s">
        <v>18</v>
      </c>
      <c r="I604" t="s">
        <v>930</v>
      </c>
      <c r="J604" t="s">
        <v>930</v>
      </c>
      <c r="K604" t="s">
        <v>106</v>
      </c>
      <c r="L604" t="s">
        <v>930</v>
      </c>
      <c r="M604" t="s">
        <v>1456</v>
      </c>
      <c r="N604" t="s">
        <v>108</v>
      </c>
      <c r="O604" t="s">
        <v>33</v>
      </c>
      <c r="P604" t="s">
        <v>34</v>
      </c>
      <c r="Q604">
        <v>1</v>
      </c>
      <c r="R604">
        <v>0</v>
      </c>
      <c r="S604" s="2" t="str">
        <f>IFERROR(VLOOKUP(C604,Sheet2!B:E,4,0),C604)</f>
        <v>一般产品</v>
      </c>
    </row>
    <row r="605" spans="1:19" x14ac:dyDescent="0.2">
      <c r="A605" t="s">
        <v>2659</v>
      </c>
      <c r="B605">
        <v>2599</v>
      </c>
      <c r="C605" t="s">
        <v>589</v>
      </c>
      <c r="D605" t="s">
        <v>50</v>
      </c>
      <c r="E605" t="s">
        <v>1149</v>
      </c>
      <c r="F605" t="s">
        <v>585</v>
      </c>
      <c r="G605" s="2" t="s">
        <v>586</v>
      </c>
      <c r="H605" t="s">
        <v>18</v>
      </c>
      <c r="I605" t="s">
        <v>191</v>
      </c>
      <c r="J605" t="s">
        <v>192</v>
      </c>
      <c r="K605" t="s">
        <v>930</v>
      </c>
      <c r="L605" t="s">
        <v>930</v>
      </c>
      <c r="M605" t="s">
        <v>193</v>
      </c>
      <c r="N605" t="s">
        <v>194</v>
      </c>
      <c r="O605" t="s">
        <v>24</v>
      </c>
      <c r="P605" t="s">
        <v>25</v>
      </c>
      <c r="Q605">
        <v>1</v>
      </c>
      <c r="R605">
        <v>0</v>
      </c>
      <c r="S605" s="2" t="str">
        <f>IFERROR(VLOOKUP(C605,Sheet2!B:E,4,0),C605)</f>
        <v>优惠产品</v>
      </c>
    </row>
    <row r="606" spans="1:19" x14ac:dyDescent="0.2">
      <c r="A606" t="s">
        <v>2660</v>
      </c>
      <c r="B606">
        <v>2848</v>
      </c>
      <c r="C606" t="s">
        <v>575</v>
      </c>
      <c r="D606" t="s">
        <v>971</v>
      </c>
      <c r="E606" t="s">
        <v>2661</v>
      </c>
      <c r="F606" t="s">
        <v>955</v>
      </c>
      <c r="G606" s="2" t="s">
        <v>956</v>
      </c>
      <c r="H606" t="s">
        <v>18</v>
      </c>
      <c r="I606" t="s">
        <v>266</v>
      </c>
      <c r="J606" t="s">
        <v>267</v>
      </c>
      <c r="K606" t="s">
        <v>930</v>
      </c>
      <c r="L606" t="s">
        <v>930</v>
      </c>
      <c r="M606" t="s">
        <v>268</v>
      </c>
      <c r="N606" t="s">
        <v>185</v>
      </c>
      <c r="O606" t="s">
        <v>39</v>
      </c>
      <c r="P606" t="s">
        <v>25</v>
      </c>
      <c r="Q606">
        <v>1</v>
      </c>
      <c r="R606">
        <v>0</v>
      </c>
      <c r="S606" s="2" t="str">
        <f>IFERROR(VLOOKUP(C606,Sheet2!B:E,4,0),C606)</f>
        <v>优惠产品</v>
      </c>
    </row>
    <row r="607" spans="1:19" x14ac:dyDescent="0.2">
      <c r="A607" t="s">
        <v>2662</v>
      </c>
      <c r="B607">
        <v>3050</v>
      </c>
      <c r="C607" t="s">
        <v>26</v>
      </c>
      <c r="D607" t="s">
        <v>2257</v>
      </c>
      <c r="E607" t="s">
        <v>2663</v>
      </c>
      <c r="F607" t="s">
        <v>2664</v>
      </c>
      <c r="G607" s="2" t="s">
        <v>2665</v>
      </c>
      <c r="H607" t="s">
        <v>28</v>
      </c>
      <c r="I607" t="s">
        <v>437</v>
      </c>
      <c r="J607" t="s">
        <v>438</v>
      </c>
      <c r="K607" t="s">
        <v>930</v>
      </c>
      <c r="L607" t="s">
        <v>930</v>
      </c>
      <c r="M607" t="s">
        <v>439</v>
      </c>
      <c r="N607" t="s">
        <v>194</v>
      </c>
      <c r="O607" t="s">
        <v>24</v>
      </c>
      <c r="P607" t="s">
        <v>25</v>
      </c>
      <c r="Q607">
        <v>1</v>
      </c>
      <c r="R607">
        <v>0</v>
      </c>
      <c r="S607" s="2" t="str">
        <f>IFERROR(VLOOKUP(C607,Sheet2!B:E,4,0),C607)</f>
        <v>一般产品</v>
      </c>
    </row>
    <row r="608" spans="1:19" x14ac:dyDescent="0.2">
      <c r="A608" t="s">
        <v>2666</v>
      </c>
      <c r="B608">
        <v>3398</v>
      </c>
      <c r="C608" t="s">
        <v>26</v>
      </c>
      <c r="D608" t="s">
        <v>2257</v>
      </c>
      <c r="E608" t="s">
        <v>2667</v>
      </c>
      <c r="F608" t="s">
        <v>653</v>
      </c>
      <c r="G608" s="2" t="s">
        <v>654</v>
      </c>
      <c r="H608" t="s">
        <v>18</v>
      </c>
      <c r="I608" t="s">
        <v>930</v>
      </c>
      <c r="J608" t="s">
        <v>930</v>
      </c>
      <c r="K608" t="s">
        <v>463</v>
      </c>
      <c r="L608" t="s">
        <v>930</v>
      </c>
      <c r="M608" t="s">
        <v>464</v>
      </c>
      <c r="N608" t="s">
        <v>60</v>
      </c>
      <c r="O608" t="s">
        <v>72</v>
      </c>
      <c r="P608" t="s">
        <v>34</v>
      </c>
      <c r="Q608">
        <v>1</v>
      </c>
      <c r="R608">
        <v>0</v>
      </c>
      <c r="S608" s="2" t="str">
        <f>IFERROR(VLOOKUP(C608,Sheet2!B:E,4,0),C608)</f>
        <v>一般产品</v>
      </c>
    </row>
    <row r="609" spans="1:19" x14ac:dyDescent="0.2">
      <c r="A609" t="s">
        <v>2668</v>
      </c>
      <c r="B609">
        <v>3000</v>
      </c>
      <c r="C609" t="s">
        <v>26</v>
      </c>
      <c r="D609" t="s">
        <v>2257</v>
      </c>
      <c r="E609" t="s">
        <v>563</v>
      </c>
      <c r="F609" t="s">
        <v>2669</v>
      </c>
      <c r="G609" s="2" t="s">
        <v>2670</v>
      </c>
      <c r="H609" t="s">
        <v>18</v>
      </c>
      <c r="I609" t="s">
        <v>930</v>
      </c>
      <c r="J609" t="s">
        <v>930</v>
      </c>
      <c r="K609" t="s">
        <v>693</v>
      </c>
      <c r="L609" t="s">
        <v>930</v>
      </c>
      <c r="M609" t="s">
        <v>1050</v>
      </c>
      <c r="N609" t="s">
        <v>68</v>
      </c>
      <c r="O609" t="s">
        <v>33</v>
      </c>
      <c r="P609" t="s">
        <v>34</v>
      </c>
      <c r="Q609">
        <v>1</v>
      </c>
      <c r="R609">
        <v>0</v>
      </c>
      <c r="S609" s="2" t="str">
        <f>IFERROR(VLOOKUP(C609,Sheet2!B:E,4,0),C609)</f>
        <v>一般产品</v>
      </c>
    </row>
    <row r="610" spans="1:19" x14ac:dyDescent="0.2">
      <c r="A610" t="s">
        <v>2671</v>
      </c>
      <c r="B610">
        <v>3000</v>
      </c>
      <c r="C610" t="s">
        <v>589</v>
      </c>
      <c r="D610" t="s">
        <v>726</v>
      </c>
      <c r="E610" t="s">
        <v>2672</v>
      </c>
      <c r="F610" t="s">
        <v>2673</v>
      </c>
      <c r="G610" s="2" t="s">
        <v>2674</v>
      </c>
      <c r="H610" t="s">
        <v>18</v>
      </c>
      <c r="I610" t="s">
        <v>379</v>
      </c>
      <c r="J610" t="s">
        <v>380</v>
      </c>
      <c r="K610" t="s">
        <v>930</v>
      </c>
      <c r="L610" t="s">
        <v>930</v>
      </c>
      <c r="M610" t="s">
        <v>381</v>
      </c>
      <c r="N610" t="s">
        <v>46</v>
      </c>
      <c r="O610" t="s">
        <v>63</v>
      </c>
      <c r="P610" t="s">
        <v>34</v>
      </c>
      <c r="Q610">
        <v>1</v>
      </c>
      <c r="R610">
        <v>0</v>
      </c>
      <c r="S610" s="2" t="str">
        <f>IFERROR(VLOOKUP(C610,Sheet2!B:E,4,0),C610)</f>
        <v>优惠产品</v>
      </c>
    </row>
    <row r="611" spans="1:19" x14ac:dyDescent="0.2">
      <c r="A611" t="s">
        <v>2675</v>
      </c>
      <c r="B611">
        <v>4000</v>
      </c>
      <c r="C611" t="s">
        <v>26</v>
      </c>
      <c r="D611" t="s">
        <v>50</v>
      </c>
      <c r="E611" t="s">
        <v>996</v>
      </c>
      <c r="F611" t="s">
        <v>544</v>
      </c>
      <c r="G611" s="2" t="s">
        <v>545</v>
      </c>
      <c r="H611" t="s">
        <v>28</v>
      </c>
      <c r="I611" t="s">
        <v>159</v>
      </c>
      <c r="J611" t="s">
        <v>160</v>
      </c>
      <c r="K611" t="s">
        <v>930</v>
      </c>
      <c r="L611" t="s">
        <v>930</v>
      </c>
      <c r="M611" t="s">
        <v>161</v>
      </c>
      <c r="N611" t="s">
        <v>55</v>
      </c>
      <c r="O611" t="s">
        <v>33</v>
      </c>
      <c r="P611" t="s">
        <v>34</v>
      </c>
      <c r="Q611">
        <v>1</v>
      </c>
      <c r="R611">
        <v>0</v>
      </c>
      <c r="S611" s="2" t="str">
        <f>IFERROR(VLOOKUP(C611,Sheet2!B:E,4,0),C611)</f>
        <v>一般产品</v>
      </c>
    </row>
    <row r="612" spans="1:19" x14ac:dyDescent="0.2">
      <c r="A612" t="s">
        <v>2676</v>
      </c>
      <c r="B612">
        <v>2798</v>
      </c>
      <c r="C612" t="s">
        <v>589</v>
      </c>
      <c r="D612" t="s">
        <v>50</v>
      </c>
      <c r="E612" t="s">
        <v>2677</v>
      </c>
      <c r="F612" t="s">
        <v>769</v>
      </c>
      <c r="G612" s="2" t="s">
        <v>770</v>
      </c>
      <c r="H612" t="s">
        <v>18</v>
      </c>
      <c r="I612" t="s">
        <v>74</v>
      </c>
      <c r="J612" t="s">
        <v>75</v>
      </c>
      <c r="K612" t="s">
        <v>930</v>
      </c>
      <c r="L612" t="s">
        <v>930</v>
      </c>
      <c r="M612" t="s">
        <v>938</v>
      </c>
      <c r="N612" t="s">
        <v>44</v>
      </c>
      <c r="O612" t="s">
        <v>24</v>
      </c>
      <c r="P612" t="s">
        <v>25</v>
      </c>
      <c r="Q612">
        <v>1</v>
      </c>
      <c r="R612">
        <v>0</v>
      </c>
      <c r="S612" s="2" t="str">
        <f>IFERROR(VLOOKUP(C612,Sheet2!B:E,4,0),C612)</f>
        <v>优惠产品</v>
      </c>
    </row>
    <row r="613" spans="1:19" x14ac:dyDescent="0.2">
      <c r="A613" t="s">
        <v>2678</v>
      </c>
      <c r="B613">
        <v>3200</v>
      </c>
      <c r="C613" t="s">
        <v>26</v>
      </c>
      <c r="D613" t="s">
        <v>2257</v>
      </c>
      <c r="E613" t="s">
        <v>1954</v>
      </c>
      <c r="F613" t="s">
        <v>1020</v>
      </c>
      <c r="G613" s="2" t="s">
        <v>1021</v>
      </c>
      <c r="H613" t="s">
        <v>28</v>
      </c>
      <c r="I613" t="s">
        <v>930</v>
      </c>
      <c r="J613" t="s">
        <v>930</v>
      </c>
      <c r="K613" t="s">
        <v>930</v>
      </c>
      <c r="L613" t="s">
        <v>930</v>
      </c>
      <c r="M613" t="s">
        <v>45</v>
      </c>
      <c r="N613" t="s">
        <v>61</v>
      </c>
      <c r="O613" t="s">
        <v>64</v>
      </c>
      <c r="P613" t="s">
        <v>34</v>
      </c>
      <c r="Q613">
        <v>1</v>
      </c>
      <c r="R613">
        <v>0</v>
      </c>
      <c r="S613" s="2" t="str">
        <f>IFERROR(VLOOKUP(C613,Sheet2!B:E,4,0),C613)</f>
        <v>一般产品</v>
      </c>
    </row>
    <row r="614" spans="1:19" x14ac:dyDescent="0.2">
      <c r="A614" t="s">
        <v>2679</v>
      </c>
      <c r="B614">
        <v>3000</v>
      </c>
      <c r="C614" t="s">
        <v>26</v>
      </c>
      <c r="D614" t="s">
        <v>2257</v>
      </c>
      <c r="E614" t="s">
        <v>2680</v>
      </c>
      <c r="F614" t="s">
        <v>2681</v>
      </c>
      <c r="G614" s="2" t="s">
        <v>2682</v>
      </c>
      <c r="H614" t="s">
        <v>28</v>
      </c>
      <c r="I614" t="s">
        <v>930</v>
      </c>
      <c r="J614" t="s">
        <v>930</v>
      </c>
      <c r="K614" t="s">
        <v>930</v>
      </c>
      <c r="L614" t="s">
        <v>930</v>
      </c>
      <c r="M614" t="s">
        <v>45</v>
      </c>
      <c r="N614" t="s">
        <v>61</v>
      </c>
      <c r="O614" t="s">
        <v>64</v>
      </c>
      <c r="P614" t="s">
        <v>34</v>
      </c>
      <c r="Q614">
        <v>1</v>
      </c>
      <c r="R614">
        <v>0</v>
      </c>
      <c r="S614" s="2" t="str">
        <f>IFERROR(VLOOKUP(C614,Sheet2!B:E,4,0),C614)</f>
        <v>一般产品</v>
      </c>
    </row>
    <row r="615" spans="1:19" x14ac:dyDescent="0.2">
      <c r="A615" t="s">
        <v>2683</v>
      </c>
      <c r="B615">
        <v>2898</v>
      </c>
      <c r="C615" t="s">
        <v>589</v>
      </c>
      <c r="D615" t="s">
        <v>2257</v>
      </c>
      <c r="E615" t="s">
        <v>2684</v>
      </c>
      <c r="F615" t="s">
        <v>2685</v>
      </c>
      <c r="G615" s="2" t="s">
        <v>2686</v>
      </c>
      <c r="H615" t="s">
        <v>18</v>
      </c>
      <c r="I615" t="s">
        <v>100</v>
      </c>
      <c r="J615" t="s">
        <v>101</v>
      </c>
      <c r="K615" t="s">
        <v>930</v>
      </c>
      <c r="L615" t="s">
        <v>930</v>
      </c>
      <c r="M615" t="s">
        <v>102</v>
      </c>
      <c r="N615" t="s">
        <v>59</v>
      </c>
      <c r="O615" t="s">
        <v>72</v>
      </c>
      <c r="P615" t="s">
        <v>34</v>
      </c>
      <c r="Q615">
        <v>1</v>
      </c>
      <c r="R615">
        <v>0</v>
      </c>
      <c r="S615" s="2" t="str">
        <f>IFERROR(VLOOKUP(C615,Sheet2!B:E,4,0),C615)</f>
        <v>优惠产品</v>
      </c>
    </row>
    <row r="616" spans="1:19" x14ac:dyDescent="0.2">
      <c r="A616" t="s">
        <v>2687</v>
      </c>
      <c r="B616">
        <v>1298</v>
      </c>
      <c r="C616" t="s">
        <v>575</v>
      </c>
      <c r="D616" t="s">
        <v>971</v>
      </c>
      <c r="E616" t="s">
        <v>2688</v>
      </c>
      <c r="F616" t="s">
        <v>782</v>
      </c>
      <c r="G616" s="2" t="s">
        <v>783</v>
      </c>
      <c r="H616" t="s">
        <v>18</v>
      </c>
      <c r="I616" t="s">
        <v>930</v>
      </c>
      <c r="J616" t="s">
        <v>930</v>
      </c>
      <c r="K616" t="s">
        <v>930</v>
      </c>
      <c r="L616" t="s">
        <v>930</v>
      </c>
      <c r="M616" t="s">
        <v>46</v>
      </c>
      <c r="N616" t="s">
        <v>59</v>
      </c>
      <c r="O616" t="s">
        <v>39</v>
      </c>
      <c r="P616" t="s">
        <v>25</v>
      </c>
      <c r="Q616">
        <v>1</v>
      </c>
      <c r="R616">
        <v>0</v>
      </c>
      <c r="S616" s="2" t="str">
        <f>IFERROR(VLOOKUP(C616,Sheet2!B:E,4,0),C616)</f>
        <v>优惠产品</v>
      </c>
    </row>
    <row r="617" spans="1:19" x14ac:dyDescent="0.2">
      <c r="A617" t="s">
        <v>2689</v>
      </c>
      <c r="B617">
        <v>2500</v>
      </c>
      <c r="C617" t="s">
        <v>26</v>
      </c>
      <c r="D617" t="s">
        <v>50</v>
      </c>
      <c r="E617" t="s">
        <v>595</v>
      </c>
      <c r="F617" t="s">
        <v>1061</v>
      </c>
      <c r="G617" s="2" t="s">
        <v>1062</v>
      </c>
      <c r="H617" t="s">
        <v>18</v>
      </c>
      <c r="I617" t="s">
        <v>97</v>
      </c>
      <c r="J617" t="s">
        <v>98</v>
      </c>
      <c r="K617" t="s">
        <v>930</v>
      </c>
      <c r="L617" t="s">
        <v>930</v>
      </c>
      <c r="M617" t="s">
        <v>99</v>
      </c>
      <c r="N617" t="s">
        <v>55</v>
      </c>
      <c r="O617" t="s">
        <v>33</v>
      </c>
      <c r="P617" t="s">
        <v>34</v>
      </c>
      <c r="Q617">
        <v>1</v>
      </c>
      <c r="R617">
        <v>0</v>
      </c>
      <c r="S617" s="2" t="str">
        <f>IFERROR(VLOOKUP(C617,Sheet2!B:E,4,0),C617)</f>
        <v>一般产品</v>
      </c>
    </row>
    <row r="618" spans="1:19" x14ac:dyDescent="0.2">
      <c r="A618" t="s">
        <v>2690</v>
      </c>
      <c r="B618">
        <v>1500</v>
      </c>
      <c r="C618" t="s">
        <v>589</v>
      </c>
      <c r="D618" t="s">
        <v>2257</v>
      </c>
      <c r="E618" t="s">
        <v>2691</v>
      </c>
      <c r="F618" t="s">
        <v>2692</v>
      </c>
      <c r="G618" s="2" t="s">
        <v>2693</v>
      </c>
      <c r="H618" t="s">
        <v>28</v>
      </c>
      <c r="I618" t="s">
        <v>490</v>
      </c>
      <c r="J618" t="s">
        <v>491</v>
      </c>
      <c r="K618" t="s">
        <v>930</v>
      </c>
      <c r="L618" t="s">
        <v>930</v>
      </c>
      <c r="M618" t="s">
        <v>492</v>
      </c>
      <c r="N618" t="s">
        <v>146</v>
      </c>
      <c r="O618" t="s">
        <v>33</v>
      </c>
      <c r="P618" t="s">
        <v>34</v>
      </c>
      <c r="Q618">
        <v>1</v>
      </c>
      <c r="R618">
        <v>0</v>
      </c>
      <c r="S618" s="2" t="str">
        <f>IFERROR(VLOOKUP(C618,Sheet2!B:E,4,0),C618)</f>
        <v>优惠产品</v>
      </c>
    </row>
    <row r="619" spans="1:19" x14ac:dyDescent="0.2">
      <c r="A619" t="s">
        <v>2694</v>
      </c>
      <c r="B619">
        <v>3500</v>
      </c>
      <c r="C619" t="s">
        <v>26</v>
      </c>
      <c r="D619" t="s">
        <v>2257</v>
      </c>
      <c r="E619" t="s">
        <v>616</v>
      </c>
      <c r="F619" t="s">
        <v>639</v>
      </c>
      <c r="G619" s="2" t="s">
        <v>640</v>
      </c>
      <c r="H619" t="s">
        <v>18</v>
      </c>
      <c r="I619" t="s">
        <v>421</v>
      </c>
      <c r="J619" t="s">
        <v>422</v>
      </c>
      <c r="K619" t="s">
        <v>930</v>
      </c>
      <c r="L619" t="s">
        <v>930</v>
      </c>
      <c r="M619" t="s">
        <v>423</v>
      </c>
      <c r="N619" t="s">
        <v>68</v>
      </c>
      <c r="O619" t="s">
        <v>33</v>
      </c>
      <c r="P619" t="s">
        <v>34</v>
      </c>
      <c r="Q619">
        <v>1</v>
      </c>
      <c r="R619">
        <v>0</v>
      </c>
      <c r="S619" s="2" t="str">
        <f>IFERROR(VLOOKUP(C619,Sheet2!B:E,4,0),C619)</f>
        <v>一般产品</v>
      </c>
    </row>
    <row r="620" spans="1:19" x14ac:dyDescent="0.2">
      <c r="A620" t="s">
        <v>2695</v>
      </c>
      <c r="B620">
        <v>1400</v>
      </c>
      <c r="C620" t="s">
        <v>26</v>
      </c>
      <c r="D620" t="s">
        <v>50</v>
      </c>
      <c r="E620" t="s">
        <v>595</v>
      </c>
      <c r="F620" t="s">
        <v>2696</v>
      </c>
      <c r="G620" s="2" t="s">
        <v>2697</v>
      </c>
      <c r="H620" t="s">
        <v>28</v>
      </c>
      <c r="I620" t="s">
        <v>97</v>
      </c>
      <c r="J620" t="s">
        <v>98</v>
      </c>
      <c r="K620" t="s">
        <v>930</v>
      </c>
      <c r="L620" t="s">
        <v>930</v>
      </c>
      <c r="M620" t="s">
        <v>99</v>
      </c>
      <c r="N620" t="s">
        <v>55</v>
      </c>
      <c r="O620" t="s">
        <v>33</v>
      </c>
      <c r="P620" t="s">
        <v>34</v>
      </c>
      <c r="Q620">
        <v>1</v>
      </c>
      <c r="R620">
        <v>0</v>
      </c>
      <c r="S620" s="2" t="str">
        <f>IFERROR(VLOOKUP(C620,Sheet2!B:E,4,0),C620)</f>
        <v>一般产品</v>
      </c>
    </row>
    <row r="621" spans="1:19" x14ac:dyDescent="0.2">
      <c r="A621" t="s">
        <v>2698</v>
      </c>
      <c r="B621">
        <v>1000</v>
      </c>
      <c r="C621" t="s">
        <v>26</v>
      </c>
      <c r="D621" t="s">
        <v>50</v>
      </c>
      <c r="E621" t="s">
        <v>2699</v>
      </c>
      <c r="F621" t="s">
        <v>997</v>
      </c>
      <c r="G621" s="2" t="s">
        <v>998</v>
      </c>
      <c r="H621" t="s">
        <v>18</v>
      </c>
      <c r="I621" t="s">
        <v>404</v>
      </c>
      <c r="J621" t="s">
        <v>405</v>
      </c>
      <c r="K621" t="s">
        <v>930</v>
      </c>
      <c r="L621" t="s">
        <v>930</v>
      </c>
      <c r="M621" t="s">
        <v>406</v>
      </c>
      <c r="N621" t="s">
        <v>55</v>
      </c>
      <c r="O621" t="s">
        <v>33</v>
      </c>
      <c r="P621" t="s">
        <v>34</v>
      </c>
      <c r="Q621">
        <v>1</v>
      </c>
      <c r="R621">
        <v>0</v>
      </c>
      <c r="S621" s="2" t="str">
        <f>IFERROR(VLOOKUP(C621,Sheet2!B:E,4,0),C621)</f>
        <v>一般产品</v>
      </c>
    </row>
    <row r="622" spans="1:19" x14ac:dyDescent="0.2">
      <c r="A622" t="s">
        <v>2700</v>
      </c>
      <c r="B622">
        <v>1400</v>
      </c>
      <c r="C622" t="s">
        <v>26</v>
      </c>
      <c r="D622" t="s">
        <v>2257</v>
      </c>
      <c r="E622" t="s">
        <v>1406</v>
      </c>
      <c r="F622" t="s">
        <v>819</v>
      </c>
      <c r="G622" s="2" t="s">
        <v>820</v>
      </c>
      <c r="H622" t="s">
        <v>18</v>
      </c>
      <c r="I622" t="s">
        <v>930</v>
      </c>
      <c r="J622" t="s">
        <v>930</v>
      </c>
      <c r="K622" t="s">
        <v>163</v>
      </c>
      <c r="L622" t="s">
        <v>930</v>
      </c>
      <c r="M622" t="s">
        <v>931</v>
      </c>
      <c r="N622" t="s">
        <v>68</v>
      </c>
      <c r="O622" t="s">
        <v>33</v>
      </c>
      <c r="P622" t="s">
        <v>34</v>
      </c>
      <c r="Q622">
        <v>1</v>
      </c>
      <c r="R622">
        <v>0</v>
      </c>
      <c r="S622" s="2" t="str">
        <f>IFERROR(VLOOKUP(C622,Sheet2!B:E,4,0),C622)</f>
        <v>一般产品</v>
      </c>
    </row>
    <row r="623" spans="1:19" x14ac:dyDescent="0.2">
      <c r="A623" t="s">
        <v>2701</v>
      </c>
      <c r="B623">
        <v>2500</v>
      </c>
      <c r="C623" t="s">
        <v>26</v>
      </c>
      <c r="D623" t="s">
        <v>50</v>
      </c>
      <c r="E623" t="s">
        <v>768</v>
      </c>
      <c r="F623" t="s">
        <v>419</v>
      </c>
      <c r="G623" s="2" t="s">
        <v>420</v>
      </c>
      <c r="H623" t="s">
        <v>28</v>
      </c>
      <c r="I623" t="s">
        <v>121</v>
      </c>
      <c r="J623" t="s">
        <v>122</v>
      </c>
      <c r="K623" t="s">
        <v>930</v>
      </c>
      <c r="L623" t="s">
        <v>930</v>
      </c>
      <c r="M623" t="s">
        <v>123</v>
      </c>
      <c r="N623" t="s">
        <v>55</v>
      </c>
      <c r="O623" t="s">
        <v>33</v>
      </c>
      <c r="P623" t="s">
        <v>34</v>
      </c>
      <c r="Q623">
        <v>1</v>
      </c>
      <c r="R623">
        <v>0</v>
      </c>
      <c r="S623" s="2" t="str">
        <f>IFERROR(VLOOKUP(C623,Sheet2!B:E,4,0),C623)</f>
        <v>一般产品</v>
      </c>
    </row>
    <row r="624" spans="1:19" x14ac:dyDescent="0.2">
      <c r="A624" t="s">
        <v>2702</v>
      </c>
      <c r="B624">
        <v>2000</v>
      </c>
      <c r="C624" t="s">
        <v>26</v>
      </c>
      <c r="D624" t="s">
        <v>2257</v>
      </c>
      <c r="E624" t="s">
        <v>2703</v>
      </c>
      <c r="F624" t="s">
        <v>2369</v>
      </c>
      <c r="G624" s="2" t="s">
        <v>2370</v>
      </c>
      <c r="H624" t="s">
        <v>18</v>
      </c>
      <c r="I624" t="s">
        <v>930</v>
      </c>
      <c r="J624" t="s">
        <v>930</v>
      </c>
      <c r="K624" t="s">
        <v>230</v>
      </c>
      <c r="L624" t="s">
        <v>930</v>
      </c>
      <c r="M624" t="s">
        <v>231</v>
      </c>
      <c r="N624" t="s">
        <v>47</v>
      </c>
      <c r="O624" t="s">
        <v>33</v>
      </c>
      <c r="P624" t="s">
        <v>34</v>
      </c>
      <c r="Q624">
        <v>1</v>
      </c>
      <c r="R624">
        <v>0</v>
      </c>
      <c r="S624" s="2" t="str">
        <f>IFERROR(VLOOKUP(C624,Sheet2!B:E,4,0),C624)</f>
        <v>一般产品</v>
      </c>
    </row>
    <row r="625" spans="1:19" x14ac:dyDescent="0.2">
      <c r="A625" t="s">
        <v>2704</v>
      </c>
      <c r="B625">
        <v>2500</v>
      </c>
      <c r="C625" t="s">
        <v>26</v>
      </c>
      <c r="D625" t="s">
        <v>50</v>
      </c>
      <c r="E625" t="s">
        <v>2561</v>
      </c>
      <c r="F625" t="s">
        <v>561</v>
      </c>
      <c r="G625" s="2" t="s">
        <v>562</v>
      </c>
      <c r="H625" t="s">
        <v>18</v>
      </c>
      <c r="I625" t="s">
        <v>930</v>
      </c>
      <c r="J625" t="s">
        <v>930</v>
      </c>
      <c r="K625" t="s">
        <v>230</v>
      </c>
      <c r="L625" t="s">
        <v>930</v>
      </c>
      <c r="M625" t="s">
        <v>231</v>
      </c>
      <c r="N625" t="s">
        <v>47</v>
      </c>
      <c r="O625" t="s">
        <v>33</v>
      </c>
      <c r="P625" t="s">
        <v>34</v>
      </c>
      <c r="Q625">
        <v>1</v>
      </c>
      <c r="R625">
        <v>0</v>
      </c>
      <c r="S625" s="2" t="str">
        <f>IFERROR(VLOOKUP(C625,Sheet2!B:E,4,0),C625)</f>
        <v>一般产品</v>
      </c>
    </row>
    <row r="626" spans="1:19" x14ac:dyDescent="0.2">
      <c r="A626" t="s">
        <v>2705</v>
      </c>
      <c r="B626">
        <v>3198</v>
      </c>
      <c r="C626" t="s">
        <v>26</v>
      </c>
      <c r="D626" t="s">
        <v>2257</v>
      </c>
      <c r="E626" t="s">
        <v>2706</v>
      </c>
      <c r="F626" t="s">
        <v>493</v>
      </c>
      <c r="G626" s="2" t="s">
        <v>494</v>
      </c>
      <c r="H626" t="s">
        <v>18</v>
      </c>
      <c r="I626" t="s">
        <v>421</v>
      </c>
      <c r="J626" t="s">
        <v>422</v>
      </c>
      <c r="K626" t="s">
        <v>930</v>
      </c>
      <c r="L626" t="s">
        <v>930</v>
      </c>
      <c r="M626" t="s">
        <v>423</v>
      </c>
      <c r="N626" t="s">
        <v>68</v>
      </c>
      <c r="O626" t="s">
        <v>33</v>
      </c>
      <c r="P626" t="s">
        <v>34</v>
      </c>
      <c r="Q626">
        <v>1</v>
      </c>
      <c r="R626">
        <v>0</v>
      </c>
      <c r="S626" s="2" t="str">
        <f>IFERROR(VLOOKUP(C626,Sheet2!B:E,4,0),C626)</f>
        <v>一般产品</v>
      </c>
    </row>
    <row r="627" spans="1:19" x14ac:dyDescent="0.2">
      <c r="A627" t="s">
        <v>2707</v>
      </c>
      <c r="B627">
        <v>4000</v>
      </c>
      <c r="C627" t="s">
        <v>26</v>
      </c>
      <c r="D627" t="s">
        <v>2257</v>
      </c>
      <c r="E627" t="s">
        <v>2708</v>
      </c>
      <c r="F627" t="s">
        <v>617</v>
      </c>
      <c r="G627" s="2" t="s">
        <v>618</v>
      </c>
      <c r="H627" t="s">
        <v>18</v>
      </c>
      <c r="I627" t="s">
        <v>421</v>
      </c>
      <c r="J627" t="s">
        <v>422</v>
      </c>
      <c r="K627" t="s">
        <v>930</v>
      </c>
      <c r="L627" t="s">
        <v>930</v>
      </c>
      <c r="M627" t="s">
        <v>423</v>
      </c>
      <c r="N627" t="s">
        <v>68</v>
      </c>
      <c r="O627" t="s">
        <v>33</v>
      </c>
      <c r="P627" t="s">
        <v>34</v>
      </c>
      <c r="Q627">
        <v>1</v>
      </c>
      <c r="R627">
        <v>0</v>
      </c>
      <c r="S627" s="2" t="str">
        <f>IFERROR(VLOOKUP(C627,Sheet2!B:E,4,0),C627)</f>
        <v>一般产品</v>
      </c>
    </row>
    <row r="628" spans="1:19" x14ac:dyDescent="0.2">
      <c r="A628" t="s">
        <v>2709</v>
      </c>
      <c r="B628">
        <v>1398</v>
      </c>
      <c r="C628" t="s">
        <v>26</v>
      </c>
      <c r="D628" t="s">
        <v>2257</v>
      </c>
      <c r="E628" t="s">
        <v>2710</v>
      </c>
      <c r="F628" t="s">
        <v>272</v>
      </c>
      <c r="G628" s="2" t="s">
        <v>273</v>
      </c>
      <c r="H628" t="s">
        <v>18</v>
      </c>
      <c r="I628" t="s">
        <v>930</v>
      </c>
      <c r="J628" t="s">
        <v>930</v>
      </c>
      <c r="K628" t="s">
        <v>274</v>
      </c>
      <c r="L628" t="s">
        <v>930</v>
      </c>
      <c r="M628" t="s">
        <v>275</v>
      </c>
      <c r="N628" t="s">
        <v>60</v>
      </c>
      <c r="O628" t="s">
        <v>72</v>
      </c>
      <c r="P628" t="s">
        <v>34</v>
      </c>
      <c r="Q628">
        <v>1</v>
      </c>
      <c r="R628">
        <v>0</v>
      </c>
      <c r="S628" s="2" t="str">
        <f>IFERROR(VLOOKUP(C628,Sheet2!B:E,4,0),C628)</f>
        <v>一般产品</v>
      </c>
    </row>
    <row r="629" spans="1:19" x14ac:dyDescent="0.2">
      <c r="A629" t="s">
        <v>2711</v>
      </c>
      <c r="B629">
        <v>4588</v>
      </c>
      <c r="C629" t="s">
        <v>589</v>
      </c>
      <c r="D629" t="s">
        <v>2257</v>
      </c>
      <c r="E629" t="s">
        <v>957</v>
      </c>
      <c r="F629" t="s">
        <v>992</v>
      </c>
      <c r="G629" s="2" t="s">
        <v>993</v>
      </c>
      <c r="H629" t="s">
        <v>18</v>
      </c>
      <c r="I629" t="s">
        <v>76</v>
      </c>
      <c r="J629" t="s">
        <v>77</v>
      </c>
      <c r="K629" t="s">
        <v>930</v>
      </c>
      <c r="L629" t="s">
        <v>930</v>
      </c>
      <c r="M629" t="s">
        <v>78</v>
      </c>
      <c r="N629" t="s">
        <v>44</v>
      </c>
      <c r="O629" t="s">
        <v>24</v>
      </c>
      <c r="P629" t="s">
        <v>25</v>
      </c>
      <c r="Q629">
        <v>1</v>
      </c>
      <c r="R629">
        <v>0</v>
      </c>
      <c r="S629" s="2" t="str">
        <f>IFERROR(VLOOKUP(C629,Sheet2!B:E,4,0),C629)</f>
        <v>优惠产品</v>
      </c>
    </row>
    <row r="630" spans="1:19" x14ac:dyDescent="0.2">
      <c r="A630" t="s">
        <v>2712</v>
      </c>
      <c r="B630">
        <v>3200</v>
      </c>
      <c r="C630" t="s">
        <v>26</v>
      </c>
      <c r="D630" t="s">
        <v>2257</v>
      </c>
      <c r="E630" t="s">
        <v>979</v>
      </c>
      <c r="F630" t="s">
        <v>980</v>
      </c>
      <c r="G630" s="2" t="s">
        <v>981</v>
      </c>
      <c r="H630" t="s">
        <v>18</v>
      </c>
      <c r="I630" t="s">
        <v>281</v>
      </c>
      <c r="J630" t="s">
        <v>282</v>
      </c>
      <c r="K630" t="s">
        <v>930</v>
      </c>
      <c r="L630" t="s">
        <v>930</v>
      </c>
      <c r="M630" t="s">
        <v>283</v>
      </c>
      <c r="N630" t="s">
        <v>68</v>
      </c>
      <c r="O630" t="s">
        <v>33</v>
      </c>
      <c r="P630" t="s">
        <v>34</v>
      </c>
      <c r="Q630">
        <v>1</v>
      </c>
      <c r="R630">
        <v>0</v>
      </c>
      <c r="S630" s="2" t="str">
        <f>IFERROR(VLOOKUP(C630,Sheet2!B:E,4,0),C630)</f>
        <v>一般产品</v>
      </c>
    </row>
    <row r="631" spans="1:19" x14ac:dyDescent="0.2">
      <c r="A631" t="s">
        <v>2713</v>
      </c>
      <c r="B631">
        <v>3010</v>
      </c>
      <c r="C631" t="s">
        <v>26</v>
      </c>
      <c r="D631" t="s">
        <v>2257</v>
      </c>
      <c r="E631" t="s">
        <v>2714</v>
      </c>
      <c r="F631" t="s">
        <v>293</v>
      </c>
      <c r="G631" s="2" t="s">
        <v>294</v>
      </c>
      <c r="H631" t="s">
        <v>18</v>
      </c>
      <c r="I631" t="s">
        <v>281</v>
      </c>
      <c r="J631" t="s">
        <v>282</v>
      </c>
      <c r="K631" t="s">
        <v>930</v>
      </c>
      <c r="L631" t="s">
        <v>930</v>
      </c>
      <c r="M631" t="s">
        <v>283</v>
      </c>
      <c r="N631" t="s">
        <v>68</v>
      </c>
      <c r="O631" t="s">
        <v>33</v>
      </c>
      <c r="P631" t="s">
        <v>34</v>
      </c>
      <c r="Q631">
        <v>1</v>
      </c>
      <c r="R631">
        <v>0</v>
      </c>
      <c r="S631" s="2" t="str">
        <f>IFERROR(VLOOKUP(C631,Sheet2!B:E,4,0),C631)</f>
        <v>一般产品</v>
      </c>
    </row>
    <row r="632" spans="1:19" x14ac:dyDescent="0.2">
      <c r="A632" t="s">
        <v>2715</v>
      </c>
      <c r="B632">
        <v>2999</v>
      </c>
      <c r="C632" t="s">
        <v>26</v>
      </c>
      <c r="D632" t="s">
        <v>2257</v>
      </c>
      <c r="E632" t="s">
        <v>1778</v>
      </c>
      <c r="F632" t="s">
        <v>2716</v>
      </c>
      <c r="G632" s="2" t="s">
        <v>2717</v>
      </c>
      <c r="H632" t="s">
        <v>18</v>
      </c>
      <c r="I632" t="s">
        <v>930</v>
      </c>
      <c r="J632" t="s">
        <v>930</v>
      </c>
      <c r="K632" t="s">
        <v>163</v>
      </c>
      <c r="L632" t="s">
        <v>930</v>
      </c>
      <c r="M632" t="s">
        <v>931</v>
      </c>
      <c r="N632" t="s">
        <v>68</v>
      </c>
      <c r="O632" t="s">
        <v>33</v>
      </c>
      <c r="P632" t="s">
        <v>34</v>
      </c>
      <c r="Q632">
        <v>1</v>
      </c>
      <c r="R632">
        <v>0</v>
      </c>
      <c r="S632" s="2" t="str">
        <f>IFERROR(VLOOKUP(C632,Sheet2!B:E,4,0),C632)</f>
        <v>一般产品</v>
      </c>
    </row>
    <row r="633" spans="1:19" x14ac:dyDescent="0.2">
      <c r="A633" t="s">
        <v>2718</v>
      </c>
      <c r="B633">
        <v>1200</v>
      </c>
      <c r="C633" t="s">
        <v>26</v>
      </c>
      <c r="D633" t="s">
        <v>50</v>
      </c>
      <c r="E633" t="s">
        <v>2600</v>
      </c>
      <c r="F633" t="s">
        <v>826</v>
      </c>
      <c r="G633" s="2" t="s">
        <v>827</v>
      </c>
      <c r="H633" t="s">
        <v>18</v>
      </c>
      <c r="I633" t="s">
        <v>401</v>
      </c>
      <c r="J633" t="s">
        <v>402</v>
      </c>
      <c r="K633" t="s">
        <v>930</v>
      </c>
      <c r="L633" t="s">
        <v>930</v>
      </c>
      <c r="M633" t="s">
        <v>403</v>
      </c>
      <c r="N633" t="s">
        <v>68</v>
      </c>
      <c r="O633" t="s">
        <v>33</v>
      </c>
      <c r="P633" t="s">
        <v>34</v>
      </c>
      <c r="Q633">
        <v>1</v>
      </c>
      <c r="R633">
        <v>0</v>
      </c>
      <c r="S633" s="2" t="str">
        <f>IFERROR(VLOOKUP(C633,Sheet2!B:E,4,0),C633)</f>
        <v>一般产品</v>
      </c>
    </row>
    <row r="634" spans="1:19" x14ac:dyDescent="0.2">
      <c r="A634" t="s">
        <v>2719</v>
      </c>
      <c r="B634">
        <v>2998</v>
      </c>
      <c r="C634" t="s">
        <v>26</v>
      </c>
      <c r="D634" t="s">
        <v>971</v>
      </c>
      <c r="E634" t="s">
        <v>2720</v>
      </c>
      <c r="F634" t="s">
        <v>1512</v>
      </c>
      <c r="G634" s="2" t="s">
        <v>1513</v>
      </c>
      <c r="H634" t="s">
        <v>18</v>
      </c>
      <c r="I634" t="s">
        <v>930</v>
      </c>
      <c r="J634" t="s">
        <v>930</v>
      </c>
      <c r="K634" t="s">
        <v>347</v>
      </c>
      <c r="L634" t="s">
        <v>930</v>
      </c>
      <c r="M634" t="s">
        <v>348</v>
      </c>
      <c r="N634" t="s">
        <v>61</v>
      </c>
      <c r="O634" t="s">
        <v>39</v>
      </c>
      <c r="P634" t="s">
        <v>25</v>
      </c>
      <c r="Q634">
        <v>1</v>
      </c>
      <c r="R634">
        <v>0</v>
      </c>
      <c r="S634" s="2" t="str">
        <f>IFERROR(VLOOKUP(C634,Sheet2!B:E,4,0),C634)</f>
        <v>一般产品</v>
      </c>
    </row>
    <row r="635" spans="1:19" x14ac:dyDescent="0.2">
      <c r="A635" t="s">
        <v>2721</v>
      </c>
      <c r="B635">
        <v>3598</v>
      </c>
      <c r="C635" t="s">
        <v>26</v>
      </c>
      <c r="D635" t="s">
        <v>50</v>
      </c>
      <c r="E635" t="s">
        <v>1264</v>
      </c>
      <c r="F635" t="s">
        <v>391</v>
      </c>
      <c r="G635" s="2" t="s">
        <v>392</v>
      </c>
      <c r="H635" t="s">
        <v>18</v>
      </c>
      <c r="I635" t="s">
        <v>934</v>
      </c>
      <c r="J635" t="s">
        <v>935</v>
      </c>
      <c r="K635" t="s">
        <v>930</v>
      </c>
      <c r="L635" t="s">
        <v>930</v>
      </c>
      <c r="M635" t="s">
        <v>936</v>
      </c>
      <c r="N635" t="s">
        <v>45</v>
      </c>
      <c r="O635" t="s">
        <v>48</v>
      </c>
      <c r="P635" t="s">
        <v>49</v>
      </c>
      <c r="Q635">
        <v>1</v>
      </c>
      <c r="R635">
        <v>0</v>
      </c>
      <c r="S635" s="2" t="str">
        <f>IFERROR(VLOOKUP(C635,Sheet2!B:E,4,0),C635)</f>
        <v>一般产品</v>
      </c>
    </row>
    <row r="636" spans="1:19" x14ac:dyDescent="0.2">
      <c r="A636" t="s">
        <v>2722</v>
      </c>
      <c r="B636">
        <v>4000</v>
      </c>
      <c r="C636" t="s">
        <v>26</v>
      </c>
      <c r="D636" t="s">
        <v>50</v>
      </c>
      <c r="E636" t="s">
        <v>416</v>
      </c>
      <c r="F636" t="s">
        <v>1064</v>
      </c>
      <c r="G636" s="2" t="s">
        <v>1065</v>
      </c>
      <c r="H636" t="s">
        <v>18</v>
      </c>
      <c r="I636" t="s">
        <v>159</v>
      </c>
      <c r="J636" t="s">
        <v>160</v>
      </c>
      <c r="K636" t="s">
        <v>930</v>
      </c>
      <c r="L636" t="s">
        <v>930</v>
      </c>
      <c r="M636" t="s">
        <v>161</v>
      </c>
      <c r="N636" t="s">
        <v>55</v>
      </c>
      <c r="O636" t="s">
        <v>33</v>
      </c>
      <c r="P636" t="s">
        <v>34</v>
      </c>
      <c r="Q636">
        <v>1</v>
      </c>
      <c r="R636">
        <v>0</v>
      </c>
      <c r="S636" s="2" t="str">
        <f>IFERROR(VLOOKUP(C636,Sheet2!B:E,4,0),C636)</f>
        <v>一般产品</v>
      </c>
    </row>
    <row r="637" spans="1:19" x14ac:dyDescent="0.2">
      <c r="A637" t="s">
        <v>2723</v>
      </c>
      <c r="B637">
        <v>1705</v>
      </c>
      <c r="C637" t="s">
        <v>26</v>
      </c>
      <c r="D637" t="s">
        <v>50</v>
      </c>
      <c r="E637" t="s">
        <v>768</v>
      </c>
      <c r="F637" t="s">
        <v>817</v>
      </c>
      <c r="G637" s="2" t="s">
        <v>818</v>
      </c>
      <c r="H637" t="s">
        <v>28</v>
      </c>
      <c r="I637" t="s">
        <v>930</v>
      </c>
      <c r="J637" t="s">
        <v>930</v>
      </c>
      <c r="K637" t="s">
        <v>235</v>
      </c>
      <c r="L637" t="s">
        <v>930</v>
      </c>
      <c r="M637" t="s">
        <v>236</v>
      </c>
      <c r="N637" t="s">
        <v>55</v>
      </c>
      <c r="O637" t="s">
        <v>33</v>
      </c>
      <c r="P637" t="s">
        <v>34</v>
      </c>
      <c r="Q637">
        <v>1</v>
      </c>
      <c r="R637">
        <v>0</v>
      </c>
      <c r="S637" s="2" t="str">
        <f>IFERROR(VLOOKUP(C637,Sheet2!B:E,4,0),C637)</f>
        <v>一般产品</v>
      </c>
    </row>
    <row r="638" spans="1:19" x14ac:dyDescent="0.2">
      <c r="A638" t="s">
        <v>2724</v>
      </c>
      <c r="B638">
        <v>2298</v>
      </c>
      <c r="C638" t="s">
        <v>26</v>
      </c>
      <c r="D638" t="s">
        <v>2257</v>
      </c>
      <c r="E638" t="s">
        <v>994</v>
      </c>
      <c r="F638" t="s">
        <v>272</v>
      </c>
      <c r="G638" s="2" t="s">
        <v>273</v>
      </c>
      <c r="H638" t="s">
        <v>18</v>
      </c>
      <c r="I638" t="s">
        <v>930</v>
      </c>
      <c r="J638" t="s">
        <v>930</v>
      </c>
      <c r="K638" t="s">
        <v>274</v>
      </c>
      <c r="L638" t="s">
        <v>930</v>
      </c>
      <c r="M638" t="s">
        <v>275</v>
      </c>
      <c r="N638" t="s">
        <v>60</v>
      </c>
      <c r="O638" t="s">
        <v>72</v>
      </c>
      <c r="P638" t="s">
        <v>34</v>
      </c>
      <c r="Q638">
        <v>1</v>
      </c>
      <c r="R638">
        <v>0</v>
      </c>
      <c r="S638" s="2" t="str">
        <f>IFERROR(VLOOKUP(C638,Sheet2!B:E,4,0),C638)</f>
        <v>一般产品</v>
      </c>
    </row>
    <row r="639" spans="1:19" x14ac:dyDescent="0.2">
      <c r="A639" t="s">
        <v>2725</v>
      </c>
      <c r="B639">
        <v>2600</v>
      </c>
      <c r="C639" t="s">
        <v>26</v>
      </c>
      <c r="D639" t="s">
        <v>2257</v>
      </c>
      <c r="E639" t="s">
        <v>2726</v>
      </c>
      <c r="F639" t="s">
        <v>2727</v>
      </c>
      <c r="G639" s="2" t="s">
        <v>2728</v>
      </c>
      <c r="H639" t="s">
        <v>18</v>
      </c>
      <c r="I639" t="s">
        <v>473</v>
      </c>
      <c r="J639" t="s">
        <v>474</v>
      </c>
      <c r="K639" t="s">
        <v>930</v>
      </c>
      <c r="L639" t="s">
        <v>930</v>
      </c>
      <c r="M639" t="s">
        <v>475</v>
      </c>
      <c r="N639" t="s">
        <v>47</v>
      </c>
      <c r="O639" t="s">
        <v>33</v>
      </c>
      <c r="P639" t="s">
        <v>34</v>
      </c>
      <c r="Q639">
        <v>1</v>
      </c>
      <c r="R639">
        <v>0</v>
      </c>
      <c r="S639" s="2" t="str">
        <f>IFERROR(VLOOKUP(C639,Sheet2!B:E,4,0),C639)</f>
        <v>一般产品</v>
      </c>
    </row>
    <row r="640" spans="1:19" x14ac:dyDescent="0.2">
      <c r="A640" t="s">
        <v>2729</v>
      </c>
      <c r="B640">
        <v>2599</v>
      </c>
      <c r="C640" t="s">
        <v>26</v>
      </c>
      <c r="D640" t="s">
        <v>971</v>
      </c>
      <c r="E640" t="s">
        <v>2730</v>
      </c>
      <c r="F640" t="s">
        <v>1440</v>
      </c>
      <c r="G640" s="2" t="s">
        <v>1441</v>
      </c>
      <c r="H640" t="s">
        <v>18</v>
      </c>
      <c r="I640" t="s">
        <v>191</v>
      </c>
      <c r="J640" t="s">
        <v>192</v>
      </c>
      <c r="K640" t="s">
        <v>930</v>
      </c>
      <c r="L640" t="s">
        <v>930</v>
      </c>
      <c r="M640" t="s">
        <v>193</v>
      </c>
      <c r="N640" t="s">
        <v>194</v>
      </c>
      <c r="O640" t="s">
        <v>24</v>
      </c>
      <c r="P640" t="s">
        <v>25</v>
      </c>
      <c r="Q640">
        <v>1</v>
      </c>
      <c r="R640">
        <v>0</v>
      </c>
      <c r="S640" s="2" t="str">
        <f>IFERROR(VLOOKUP(C640,Sheet2!B:E,4,0),C640)</f>
        <v>一般产品</v>
      </c>
    </row>
    <row r="641" spans="1:19" x14ac:dyDescent="0.2">
      <c r="A641" t="s">
        <v>2731</v>
      </c>
      <c r="B641">
        <v>1799</v>
      </c>
      <c r="C641" t="s">
        <v>26</v>
      </c>
      <c r="D641" t="s">
        <v>2257</v>
      </c>
      <c r="E641" t="s">
        <v>722</v>
      </c>
      <c r="F641" t="s">
        <v>1220</v>
      </c>
      <c r="G641" s="2" t="s">
        <v>1221</v>
      </c>
      <c r="H641" t="s">
        <v>18</v>
      </c>
      <c r="I641" t="s">
        <v>930</v>
      </c>
      <c r="J641" t="s">
        <v>930</v>
      </c>
      <c r="K641" t="s">
        <v>163</v>
      </c>
      <c r="L641" t="s">
        <v>930</v>
      </c>
      <c r="M641" t="s">
        <v>931</v>
      </c>
      <c r="N641" t="s">
        <v>68</v>
      </c>
      <c r="O641" t="s">
        <v>33</v>
      </c>
      <c r="P641" t="s">
        <v>34</v>
      </c>
      <c r="Q641">
        <v>1</v>
      </c>
      <c r="R641">
        <v>0</v>
      </c>
      <c r="S641" s="2" t="str">
        <f>IFERROR(VLOOKUP(C641,Sheet2!B:E,4,0),C641)</f>
        <v>一般产品</v>
      </c>
    </row>
    <row r="642" spans="1:19" x14ac:dyDescent="0.2">
      <c r="A642" t="s">
        <v>2732</v>
      </c>
      <c r="B642">
        <v>2398</v>
      </c>
      <c r="C642" t="s">
        <v>575</v>
      </c>
      <c r="D642" t="s">
        <v>971</v>
      </c>
      <c r="E642" t="s">
        <v>2733</v>
      </c>
      <c r="F642" t="s">
        <v>1633</v>
      </c>
      <c r="G642" s="2" t="s">
        <v>1634</v>
      </c>
      <c r="H642" t="s">
        <v>18</v>
      </c>
      <c r="I642" t="s">
        <v>211</v>
      </c>
      <c r="J642" t="s">
        <v>212</v>
      </c>
      <c r="K642" t="s">
        <v>930</v>
      </c>
      <c r="L642" t="s">
        <v>930</v>
      </c>
      <c r="M642" t="s">
        <v>213</v>
      </c>
      <c r="N642" t="s">
        <v>73</v>
      </c>
      <c r="O642" t="s">
        <v>24</v>
      </c>
      <c r="P642" t="s">
        <v>25</v>
      </c>
      <c r="Q642">
        <v>1</v>
      </c>
      <c r="R642">
        <v>0</v>
      </c>
      <c r="S642" s="2" t="str">
        <f>IFERROR(VLOOKUP(C642,Sheet2!B:E,4,0),C642)</f>
        <v>优惠产品</v>
      </c>
    </row>
    <row r="643" spans="1:19" x14ac:dyDescent="0.2">
      <c r="A643" t="s">
        <v>2734</v>
      </c>
      <c r="B643">
        <v>1500</v>
      </c>
      <c r="C643" t="s">
        <v>26</v>
      </c>
      <c r="D643" t="s">
        <v>50</v>
      </c>
      <c r="E643" t="s">
        <v>1309</v>
      </c>
      <c r="F643" t="s">
        <v>776</v>
      </c>
      <c r="G643" s="2" t="s">
        <v>777</v>
      </c>
      <c r="H643" t="s">
        <v>18</v>
      </c>
      <c r="I643" t="s">
        <v>159</v>
      </c>
      <c r="J643" t="s">
        <v>160</v>
      </c>
      <c r="K643" t="s">
        <v>930</v>
      </c>
      <c r="L643" t="s">
        <v>930</v>
      </c>
      <c r="M643" t="s">
        <v>161</v>
      </c>
      <c r="N643" t="s">
        <v>55</v>
      </c>
      <c r="O643" t="s">
        <v>33</v>
      </c>
      <c r="P643" t="s">
        <v>34</v>
      </c>
      <c r="Q643">
        <v>1</v>
      </c>
      <c r="R643">
        <v>0</v>
      </c>
      <c r="S643" s="2" t="str">
        <f>IFERROR(VLOOKUP(C643,Sheet2!B:E,4,0),C643)</f>
        <v>一般产品</v>
      </c>
    </row>
    <row r="644" spans="1:19" x14ac:dyDescent="0.2">
      <c r="A644" t="s">
        <v>2735</v>
      </c>
      <c r="B644">
        <v>1000</v>
      </c>
      <c r="C644" t="s">
        <v>26</v>
      </c>
      <c r="D644" t="s">
        <v>50</v>
      </c>
      <c r="E644" t="s">
        <v>574</v>
      </c>
      <c r="F644" t="s">
        <v>1068</v>
      </c>
      <c r="G644" s="2" t="s">
        <v>1069</v>
      </c>
      <c r="H644" t="s">
        <v>18</v>
      </c>
      <c r="I644" t="s">
        <v>121</v>
      </c>
      <c r="J644" t="s">
        <v>122</v>
      </c>
      <c r="K644" t="s">
        <v>930</v>
      </c>
      <c r="L644" t="s">
        <v>930</v>
      </c>
      <c r="M644" t="s">
        <v>123</v>
      </c>
      <c r="N644" t="s">
        <v>55</v>
      </c>
      <c r="O644" t="s">
        <v>33</v>
      </c>
      <c r="P644" t="s">
        <v>34</v>
      </c>
      <c r="Q644">
        <v>1</v>
      </c>
      <c r="R644">
        <v>0</v>
      </c>
      <c r="S644" s="2" t="str">
        <f>IFERROR(VLOOKUP(C644,Sheet2!B:E,4,0),C644)</f>
        <v>一般产品</v>
      </c>
    </row>
    <row r="645" spans="1:19" x14ac:dyDescent="0.2">
      <c r="A645" t="s">
        <v>2736</v>
      </c>
      <c r="B645">
        <v>1698</v>
      </c>
      <c r="C645" t="s">
        <v>575</v>
      </c>
      <c r="D645" t="s">
        <v>50</v>
      </c>
      <c r="E645" t="s">
        <v>2737</v>
      </c>
      <c r="F645" t="s">
        <v>1152</v>
      </c>
      <c r="G645" s="2" t="s">
        <v>1153</v>
      </c>
      <c r="H645" t="s">
        <v>18</v>
      </c>
      <c r="I645" t="s">
        <v>930</v>
      </c>
      <c r="J645" t="s">
        <v>930</v>
      </c>
      <c r="K645" t="s">
        <v>414</v>
      </c>
      <c r="L645" t="s">
        <v>930</v>
      </c>
      <c r="M645" t="s">
        <v>415</v>
      </c>
      <c r="N645" t="s">
        <v>114</v>
      </c>
      <c r="O645" t="s">
        <v>24</v>
      </c>
      <c r="P645" t="s">
        <v>25</v>
      </c>
      <c r="Q645">
        <v>1</v>
      </c>
      <c r="R645">
        <v>0</v>
      </c>
      <c r="S645" s="2" t="str">
        <f>IFERROR(VLOOKUP(C645,Sheet2!B:E,4,0),C645)</f>
        <v>优惠产品</v>
      </c>
    </row>
    <row r="646" spans="1:19" x14ac:dyDescent="0.2">
      <c r="A646" t="s">
        <v>2738</v>
      </c>
      <c r="B646">
        <v>1601</v>
      </c>
      <c r="C646" t="s">
        <v>26</v>
      </c>
      <c r="D646" t="s">
        <v>50</v>
      </c>
      <c r="E646" t="s">
        <v>2739</v>
      </c>
      <c r="F646" t="s">
        <v>1306</v>
      </c>
      <c r="G646" s="2" t="s">
        <v>1307</v>
      </c>
      <c r="H646" t="s">
        <v>18</v>
      </c>
      <c r="I646" t="s">
        <v>121</v>
      </c>
      <c r="J646" t="s">
        <v>122</v>
      </c>
      <c r="K646" t="s">
        <v>930</v>
      </c>
      <c r="L646" t="s">
        <v>930</v>
      </c>
      <c r="M646" t="s">
        <v>123</v>
      </c>
      <c r="N646" t="s">
        <v>55</v>
      </c>
      <c r="O646" t="s">
        <v>33</v>
      </c>
      <c r="P646" t="s">
        <v>34</v>
      </c>
      <c r="Q646">
        <v>1</v>
      </c>
      <c r="R646">
        <v>0</v>
      </c>
      <c r="S646" s="2" t="str">
        <f>IFERROR(VLOOKUP(C646,Sheet2!B:E,4,0),C646)</f>
        <v>一般产品</v>
      </c>
    </row>
    <row r="647" spans="1:19" x14ac:dyDescent="0.2">
      <c r="A647" t="s">
        <v>2740</v>
      </c>
      <c r="B647">
        <v>1400</v>
      </c>
      <c r="C647" t="s">
        <v>26</v>
      </c>
      <c r="D647" t="s">
        <v>50</v>
      </c>
      <c r="E647" t="s">
        <v>2741</v>
      </c>
      <c r="F647" t="s">
        <v>2742</v>
      </c>
      <c r="G647" s="2" t="s">
        <v>2743</v>
      </c>
      <c r="H647" t="s">
        <v>18</v>
      </c>
      <c r="I647" t="s">
        <v>118</v>
      </c>
      <c r="J647" t="s">
        <v>119</v>
      </c>
      <c r="K647" t="s">
        <v>930</v>
      </c>
      <c r="L647" t="s">
        <v>930</v>
      </c>
      <c r="M647" t="s">
        <v>120</v>
      </c>
      <c r="N647" t="s">
        <v>85</v>
      </c>
      <c r="O647" t="s">
        <v>33</v>
      </c>
      <c r="P647" t="s">
        <v>34</v>
      </c>
      <c r="Q647">
        <v>1</v>
      </c>
      <c r="R647">
        <v>0</v>
      </c>
      <c r="S647" s="2" t="str">
        <f>IFERROR(VLOOKUP(C647,Sheet2!B:E,4,0),C647)</f>
        <v>一般产品</v>
      </c>
    </row>
    <row r="648" spans="1:19" x14ac:dyDescent="0.2">
      <c r="A648" t="s">
        <v>2744</v>
      </c>
      <c r="B648">
        <v>4999</v>
      </c>
      <c r="C648" t="s">
        <v>589</v>
      </c>
      <c r="D648" t="s">
        <v>971</v>
      </c>
      <c r="E648" t="s">
        <v>2745</v>
      </c>
      <c r="F648" t="s">
        <v>1343</v>
      </c>
      <c r="G648" s="2" t="s">
        <v>1344</v>
      </c>
      <c r="H648" t="s">
        <v>18</v>
      </c>
      <c r="I648" t="s">
        <v>311</v>
      </c>
      <c r="J648" t="s">
        <v>312</v>
      </c>
      <c r="K648" t="s">
        <v>930</v>
      </c>
      <c r="L648" t="s">
        <v>930</v>
      </c>
      <c r="M648" t="s">
        <v>313</v>
      </c>
      <c r="N648" t="s">
        <v>194</v>
      </c>
      <c r="O648" t="s">
        <v>24</v>
      </c>
      <c r="P648" t="s">
        <v>25</v>
      </c>
      <c r="Q648">
        <v>1</v>
      </c>
      <c r="R648">
        <v>0</v>
      </c>
      <c r="S648" s="2" t="str">
        <f>IFERROR(VLOOKUP(C648,Sheet2!B:E,4,0),C648)</f>
        <v>优惠产品</v>
      </c>
    </row>
    <row r="649" spans="1:19" x14ac:dyDescent="0.2">
      <c r="A649" t="s">
        <v>2746</v>
      </c>
      <c r="B649">
        <v>2000</v>
      </c>
      <c r="C649" t="s">
        <v>26</v>
      </c>
      <c r="D649" t="s">
        <v>2257</v>
      </c>
      <c r="E649" t="s">
        <v>1907</v>
      </c>
      <c r="F649" t="s">
        <v>624</v>
      </c>
      <c r="G649" s="2" t="s">
        <v>625</v>
      </c>
      <c r="H649" t="s">
        <v>18</v>
      </c>
      <c r="I649" t="s">
        <v>255</v>
      </c>
      <c r="J649" t="s">
        <v>256</v>
      </c>
      <c r="K649" t="s">
        <v>930</v>
      </c>
      <c r="L649" t="s">
        <v>930</v>
      </c>
      <c r="M649" t="s">
        <v>257</v>
      </c>
      <c r="N649" t="s">
        <v>47</v>
      </c>
      <c r="O649" t="s">
        <v>33</v>
      </c>
      <c r="P649" t="s">
        <v>34</v>
      </c>
      <c r="Q649">
        <v>1</v>
      </c>
      <c r="R649">
        <v>0</v>
      </c>
      <c r="S649" s="2" t="str">
        <f>IFERROR(VLOOKUP(C649,Sheet2!B:E,4,0),C649)</f>
        <v>一般产品</v>
      </c>
    </row>
    <row r="650" spans="1:19" x14ac:dyDescent="0.2">
      <c r="A650" t="s">
        <v>2747</v>
      </c>
      <c r="B650">
        <v>1800</v>
      </c>
      <c r="C650" t="s">
        <v>26</v>
      </c>
      <c r="D650" t="s">
        <v>50</v>
      </c>
      <c r="E650" t="s">
        <v>2748</v>
      </c>
      <c r="F650" t="s">
        <v>2749</v>
      </c>
      <c r="G650" s="2" t="s">
        <v>2750</v>
      </c>
      <c r="H650" t="s">
        <v>18</v>
      </c>
      <c r="I650" t="s">
        <v>930</v>
      </c>
      <c r="J650" t="s">
        <v>930</v>
      </c>
      <c r="K650" t="s">
        <v>548</v>
      </c>
      <c r="L650" t="s">
        <v>930</v>
      </c>
      <c r="M650" t="s">
        <v>549</v>
      </c>
      <c r="N650" t="s">
        <v>32</v>
      </c>
      <c r="O650" t="s">
        <v>33</v>
      </c>
      <c r="P650" t="s">
        <v>34</v>
      </c>
      <c r="Q650">
        <v>1</v>
      </c>
      <c r="R650">
        <v>0</v>
      </c>
      <c r="S650" s="2" t="str">
        <f>IFERROR(VLOOKUP(C650,Sheet2!B:E,4,0),C650)</f>
        <v>一般产品</v>
      </c>
    </row>
    <row r="651" spans="1:19" x14ac:dyDescent="0.2">
      <c r="A651" t="s">
        <v>2751</v>
      </c>
      <c r="B651">
        <v>3800</v>
      </c>
      <c r="C651" t="s">
        <v>26</v>
      </c>
      <c r="D651" t="s">
        <v>50</v>
      </c>
      <c r="E651" t="s">
        <v>2752</v>
      </c>
      <c r="F651" t="s">
        <v>1214</v>
      </c>
      <c r="G651" s="2" t="s">
        <v>1215</v>
      </c>
      <c r="H651" t="s">
        <v>18</v>
      </c>
      <c r="I651" t="s">
        <v>107</v>
      </c>
      <c r="J651" t="s">
        <v>1046</v>
      </c>
      <c r="K651" t="s">
        <v>930</v>
      </c>
      <c r="L651" t="s">
        <v>930</v>
      </c>
      <c r="M651" t="s">
        <v>1047</v>
      </c>
      <c r="N651" t="s">
        <v>108</v>
      </c>
      <c r="O651" t="s">
        <v>33</v>
      </c>
      <c r="P651" t="s">
        <v>34</v>
      </c>
      <c r="Q651">
        <v>1</v>
      </c>
      <c r="R651">
        <v>0</v>
      </c>
      <c r="S651" s="2" t="str">
        <f>IFERROR(VLOOKUP(C651,Sheet2!B:E,4,0),C651)</f>
        <v>一般产品</v>
      </c>
    </row>
    <row r="652" spans="1:19" x14ac:dyDescent="0.2">
      <c r="A652" t="s">
        <v>2753</v>
      </c>
      <c r="B652">
        <v>1800</v>
      </c>
      <c r="C652" t="s">
        <v>26</v>
      </c>
      <c r="D652" t="s">
        <v>50</v>
      </c>
      <c r="E652" t="s">
        <v>1327</v>
      </c>
      <c r="F652" t="s">
        <v>1260</v>
      </c>
      <c r="G652" s="2" t="s">
        <v>1261</v>
      </c>
      <c r="H652" t="s">
        <v>18</v>
      </c>
      <c r="I652" t="s">
        <v>930</v>
      </c>
      <c r="J652" t="s">
        <v>930</v>
      </c>
      <c r="K652" t="s">
        <v>548</v>
      </c>
      <c r="L652" t="s">
        <v>930</v>
      </c>
      <c r="M652" t="s">
        <v>549</v>
      </c>
      <c r="N652" t="s">
        <v>32</v>
      </c>
      <c r="O652" t="s">
        <v>33</v>
      </c>
      <c r="P652" t="s">
        <v>34</v>
      </c>
      <c r="Q652">
        <v>1</v>
      </c>
      <c r="R652">
        <v>0</v>
      </c>
      <c r="S652" s="2" t="str">
        <f>IFERROR(VLOOKUP(C652,Sheet2!B:E,4,0),C652)</f>
        <v>一般产品</v>
      </c>
    </row>
    <row r="653" spans="1:19" x14ac:dyDescent="0.2">
      <c r="A653" t="s">
        <v>2754</v>
      </c>
      <c r="B653">
        <v>4000</v>
      </c>
      <c r="C653" t="s">
        <v>26</v>
      </c>
      <c r="D653" t="s">
        <v>2257</v>
      </c>
      <c r="E653" t="s">
        <v>2755</v>
      </c>
      <c r="F653" t="s">
        <v>1314</v>
      </c>
      <c r="G653" s="2" t="s">
        <v>1315</v>
      </c>
      <c r="H653" t="s">
        <v>18</v>
      </c>
      <c r="I653" t="s">
        <v>930</v>
      </c>
      <c r="J653" t="s">
        <v>930</v>
      </c>
      <c r="K653" t="s">
        <v>163</v>
      </c>
      <c r="L653" t="s">
        <v>930</v>
      </c>
      <c r="M653" t="s">
        <v>931</v>
      </c>
      <c r="N653" t="s">
        <v>68</v>
      </c>
      <c r="O653" t="s">
        <v>33</v>
      </c>
      <c r="P653" t="s">
        <v>34</v>
      </c>
      <c r="Q653">
        <v>1</v>
      </c>
      <c r="R653">
        <v>0</v>
      </c>
      <c r="S653" s="2" t="str">
        <f>IFERROR(VLOOKUP(C653,Sheet2!B:E,4,0),C653)</f>
        <v>一般产品</v>
      </c>
    </row>
    <row r="654" spans="1:19" x14ac:dyDescent="0.2">
      <c r="A654" t="s">
        <v>2756</v>
      </c>
      <c r="B654">
        <v>4980</v>
      </c>
      <c r="C654" t="s">
        <v>575</v>
      </c>
      <c r="D654" t="s">
        <v>726</v>
      </c>
      <c r="E654" t="s">
        <v>2757</v>
      </c>
      <c r="F654" t="s">
        <v>1041</v>
      </c>
      <c r="G654" s="2" t="s">
        <v>1042</v>
      </c>
      <c r="H654" t="s">
        <v>18</v>
      </c>
      <c r="I654" t="s">
        <v>930</v>
      </c>
      <c r="J654" t="s">
        <v>930</v>
      </c>
      <c r="K654" t="s">
        <v>115</v>
      </c>
      <c r="L654" t="s">
        <v>930</v>
      </c>
      <c r="M654" t="s">
        <v>116</v>
      </c>
      <c r="N654" t="s">
        <v>45</v>
      </c>
      <c r="O654" t="s">
        <v>117</v>
      </c>
      <c r="P654" t="s">
        <v>34</v>
      </c>
      <c r="Q654">
        <v>1</v>
      </c>
      <c r="R654">
        <v>0</v>
      </c>
      <c r="S654" s="2" t="str">
        <f>IFERROR(VLOOKUP(C654,Sheet2!B:E,4,0),C654)</f>
        <v>优惠产品</v>
      </c>
    </row>
    <row r="655" spans="1:19" x14ac:dyDescent="0.2">
      <c r="A655" t="s">
        <v>2758</v>
      </c>
      <c r="B655">
        <v>3200</v>
      </c>
      <c r="C655" t="s">
        <v>26</v>
      </c>
      <c r="D655" t="s">
        <v>50</v>
      </c>
      <c r="E655" t="s">
        <v>520</v>
      </c>
      <c r="F655" t="s">
        <v>1238</v>
      </c>
      <c r="G655" s="2" t="s">
        <v>1239</v>
      </c>
      <c r="H655" t="s">
        <v>18</v>
      </c>
      <c r="I655" t="s">
        <v>930</v>
      </c>
      <c r="J655" t="s">
        <v>930</v>
      </c>
      <c r="K655" t="s">
        <v>163</v>
      </c>
      <c r="L655" t="s">
        <v>930</v>
      </c>
      <c r="M655" t="s">
        <v>931</v>
      </c>
      <c r="N655" t="s">
        <v>68</v>
      </c>
      <c r="O655" t="s">
        <v>33</v>
      </c>
      <c r="P655" t="s">
        <v>34</v>
      </c>
      <c r="Q655">
        <v>1</v>
      </c>
      <c r="R655">
        <v>0</v>
      </c>
      <c r="S655" s="2" t="str">
        <f>IFERROR(VLOOKUP(C655,Sheet2!B:E,4,0),C655)</f>
        <v>一般产品</v>
      </c>
    </row>
    <row r="656" spans="1:19" x14ac:dyDescent="0.2">
      <c r="A656" t="s">
        <v>2759</v>
      </c>
      <c r="B656">
        <v>3000</v>
      </c>
      <c r="C656" t="s">
        <v>26</v>
      </c>
      <c r="D656" t="s">
        <v>50</v>
      </c>
      <c r="E656" t="s">
        <v>991</v>
      </c>
      <c r="F656" t="s">
        <v>982</v>
      </c>
      <c r="G656" s="2" t="s">
        <v>983</v>
      </c>
      <c r="H656" t="s">
        <v>28</v>
      </c>
      <c r="I656" t="s">
        <v>97</v>
      </c>
      <c r="J656" t="s">
        <v>98</v>
      </c>
      <c r="K656" t="s">
        <v>930</v>
      </c>
      <c r="L656" t="s">
        <v>930</v>
      </c>
      <c r="M656" t="s">
        <v>99</v>
      </c>
      <c r="N656" t="s">
        <v>55</v>
      </c>
      <c r="O656" t="s">
        <v>33</v>
      </c>
      <c r="P656" t="s">
        <v>34</v>
      </c>
      <c r="Q656">
        <v>1</v>
      </c>
      <c r="R656">
        <v>0</v>
      </c>
      <c r="S656" s="2" t="str">
        <f>IFERROR(VLOOKUP(C656,Sheet2!B:E,4,0),C656)</f>
        <v>一般产品</v>
      </c>
    </row>
    <row r="657" spans="1:19" x14ac:dyDescent="0.2">
      <c r="A657" t="s">
        <v>2760</v>
      </c>
      <c r="B657">
        <v>1500</v>
      </c>
      <c r="C657" t="s">
        <v>26</v>
      </c>
      <c r="D657" t="s">
        <v>50</v>
      </c>
      <c r="E657" t="s">
        <v>1192</v>
      </c>
      <c r="F657" t="s">
        <v>1927</v>
      </c>
      <c r="G657" s="2" t="s">
        <v>1928</v>
      </c>
      <c r="H657" t="s">
        <v>18</v>
      </c>
      <c r="I657" t="s">
        <v>198</v>
      </c>
      <c r="J657" t="s">
        <v>199</v>
      </c>
      <c r="K657" t="s">
        <v>930</v>
      </c>
      <c r="L657" t="s">
        <v>930</v>
      </c>
      <c r="M657" t="s">
        <v>1048</v>
      </c>
      <c r="N657" t="s">
        <v>108</v>
      </c>
      <c r="O657" t="s">
        <v>33</v>
      </c>
      <c r="P657" t="s">
        <v>34</v>
      </c>
      <c r="Q657">
        <v>1</v>
      </c>
      <c r="R657">
        <v>0</v>
      </c>
      <c r="S657" s="2" t="str">
        <f>IFERROR(VLOOKUP(C657,Sheet2!B:E,4,0),C657)</f>
        <v>一般产品</v>
      </c>
    </row>
    <row r="658" spans="1:19" x14ac:dyDescent="0.2">
      <c r="A658" t="s">
        <v>2761</v>
      </c>
      <c r="B658">
        <v>3498</v>
      </c>
      <c r="C658" t="s">
        <v>128</v>
      </c>
      <c r="D658" t="s">
        <v>50</v>
      </c>
      <c r="E658" t="s">
        <v>2762</v>
      </c>
      <c r="F658" t="s">
        <v>2763</v>
      </c>
      <c r="G658" s="2" t="s">
        <v>2764</v>
      </c>
      <c r="H658" t="s">
        <v>18</v>
      </c>
      <c r="I658" t="s">
        <v>930</v>
      </c>
      <c r="J658" t="s">
        <v>930</v>
      </c>
      <c r="K658" t="s">
        <v>414</v>
      </c>
      <c r="L658" t="s">
        <v>930</v>
      </c>
      <c r="M658" t="s">
        <v>415</v>
      </c>
      <c r="N658" t="s">
        <v>114</v>
      </c>
      <c r="O658" t="s">
        <v>24</v>
      </c>
      <c r="P658" t="s">
        <v>25</v>
      </c>
      <c r="Q658">
        <v>1</v>
      </c>
      <c r="R658">
        <v>0</v>
      </c>
      <c r="S658" s="2" t="str">
        <f>IFERROR(VLOOKUP(C658,Sheet2!B:E,4,0),C658)</f>
        <v>一折贷</v>
      </c>
    </row>
    <row r="659" spans="1:19" x14ac:dyDescent="0.2">
      <c r="A659" t="s">
        <v>2765</v>
      </c>
      <c r="B659">
        <v>3998</v>
      </c>
      <c r="C659" t="s">
        <v>589</v>
      </c>
      <c r="D659" t="s">
        <v>2257</v>
      </c>
      <c r="E659" t="s">
        <v>2766</v>
      </c>
      <c r="F659" t="s">
        <v>2767</v>
      </c>
      <c r="G659" s="2" t="s">
        <v>2768</v>
      </c>
      <c r="H659" t="s">
        <v>18</v>
      </c>
      <c r="I659" t="s">
        <v>445</v>
      </c>
      <c r="J659" t="s">
        <v>446</v>
      </c>
      <c r="K659" t="s">
        <v>930</v>
      </c>
      <c r="L659" t="s">
        <v>930</v>
      </c>
      <c r="M659" t="s">
        <v>447</v>
      </c>
      <c r="N659" t="s">
        <v>44</v>
      </c>
      <c r="O659" t="s">
        <v>24</v>
      </c>
      <c r="P659" t="s">
        <v>25</v>
      </c>
      <c r="Q659">
        <v>1</v>
      </c>
      <c r="R659">
        <v>0</v>
      </c>
      <c r="S659" s="2" t="str">
        <f>IFERROR(VLOOKUP(C659,Sheet2!B:E,4,0),C659)</f>
        <v>优惠产品</v>
      </c>
    </row>
    <row r="660" spans="1:19" x14ac:dyDescent="0.2">
      <c r="A660" t="s">
        <v>2769</v>
      </c>
      <c r="B660">
        <v>1899</v>
      </c>
      <c r="C660" t="s">
        <v>26</v>
      </c>
      <c r="D660" t="s">
        <v>50</v>
      </c>
      <c r="E660" t="s">
        <v>2770</v>
      </c>
      <c r="F660" t="s">
        <v>2150</v>
      </c>
      <c r="G660" s="2" t="s">
        <v>2151</v>
      </c>
      <c r="H660" t="s">
        <v>18</v>
      </c>
      <c r="I660" t="s">
        <v>207</v>
      </c>
      <c r="J660" t="s">
        <v>208</v>
      </c>
      <c r="K660" t="s">
        <v>930</v>
      </c>
      <c r="L660" t="s">
        <v>930</v>
      </c>
      <c r="M660" t="s">
        <v>209</v>
      </c>
      <c r="N660" t="s">
        <v>32</v>
      </c>
      <c r="O660" t="s">
        <v>33</v>
      </c>
      <c r="P660" t="s">
        <v>34</v>
      </c>
      <c r="Q660">
        <v>1</v>
      </c>
      <c r="R660">
        <v>0</v>
      </c>
      <c r="S660" s="2" t="str">
        <f>IFERROR(VLOOKUP(C660,Sheet2!B:E,4,0),C660)</f>
        <v>一般产品</v>
      </c>
    </row>
    <row r="661" spans="1:19" x14ac:dyDescent="0.2">
      <c r="A661" t="s">
        <v>2771</v>
      </c>
      <c r="B661">
        <v>1800</v>
      </c>
      <c r="C661" t="s">
        <v>26</v>
      </c>
      <c r="D661" t="s">
        <v>2257</v>
      </c>
      <c r="E661" t="s">
        <v>2038</v>
      </c>
      <c r="F661" t="s">
        <v>2772</v>
      </c>
      <c r="G661" s="2" t="s">
        <v>2773</v>
      </c>
      <c r="H661" t="s">
        <v>18</v>
      </c>
      <c r="I661" t="s">
        <v>490</v>
      </c>
      <c r="J661" t="s">
        <v>491</v>
      </c>
      <c r="K661" t="s">
        <v>930</v>
      </c>
      <c r="L661" t="s">
        <v>930</v>
      </c>
      <c r="M661" t="s">
        <v>492</v>
      </c>
      <c r="N661" t="s">
        <v>146</v>
      </c>
      <c r="O661" t="s">
        <v>33</v>
      </c>
      <c r="P661" t="s">
        <v>34</v>
      </c>
      <c r="Q661">
        <v>1</v>
      </c>
      <c r="R661">
        <v>0</v>
      </c>
      <c r="S661" s="2" t="str">
        <f>IFERROR(VLOOKUP(C661,Sheet2!B:E,4,0),C661)</f>
        <v>一般产品</v>
      </c>
    </row>
    <row r="662" spans="1:19" x14ac:dyDescent="0.2">
      <c r="A662" t="s">
        <v>2774</v>
      </c>
      <c r="B662">
        <v>1518</v>
      </c>
      <c r="C662" t="s">
        <v>26</v>
      </c>
      <c r="D662" t="s">
        <v>50</v>
      </c>
      <c r="E662" t="s">
        <v>1076</v>
      </c>
      <c r="F662" t="s">
        <v>442</v>
      </c>
      <c r="G662" s="2" t="s">
        <v>443</v>
      </c>
      <c r="H662" t="s">
        <v>18</v>
      </c>
      <c r="I662" t="s">
        <v>159</v>
      </c>
      <c r="J662" t="s">
        <v>160</v>
      </c>
      <c r="K662" t="s">
        <v>930</v>
      </c>
      <c r="L662" t="s">
        <v>930</v>
      </c>
      <c r="M662" t="s">
        <v>161</v>
      </c>
      <c r="N662" t="s">
        <v>55</v>
      </c>
      <c r="O662" t="s">
        <v>33</v>
      </c>
      <c r="P662" t="s">
        <v>34</v>
      </c>
      <c r="Q662">
        <v>1</v>
      </c>
      <c r="R662">
        <v>0</v>
      </c>
      <c r="S662" s="2" t="str">
        <f>IFERROR(VLOOKUP(C662,Sheet2!B:E,4,0),C662)</f>
        <v>一般产品</v>
      </c>
    </row>
    <row r="663" spans="1:19" x14ac:dyDescent="0.2">
      <c r="A663" t="s">
        <v>2775</v>
      </c>
      <c r="B663">
        <v>4000</v>
      </c>
      <c r="C663" t="s">
        <v>589</v>
      </c>
      <c r="D663" t="s">
        <v>2257</v>
      </c>
      <c r="E663" t="s">
        <v>2064</v>
      </c>
      <c r="F663" t="s">
        <v>2776</v>
      </c>
      <c r="G663" s="2" t="s">
        <v>2777</v>
      </c>
      <c r="H663" t="s">
        <v>18</v>
      </c>
      <c r="I663" t="s">
        <v>227</v>
      </c>
      <c r="J663" t="s">
        <v>228</v>
      </c>
      <c r="K663" t="s">
        <v>930</v>
      </c>
      <c r="L663" t="s">
        <v>930</v>
      </c>
      <c r="M663" t="s">
        <v>229</v>
      </c>
      <c r="N663" t="s">
        <v>194</v>
      </c>
      <c r="O663" t="s">
        <v>24</v>
      </c>
      <c r="P663" t="s">
        <v>25</v>
      </c>
      <c r="Q663">
        <v>1</v>
      </c>
      <c r="R663">
        <v>0</v>
      </c>
      <c r="S663" s="2" t="str">
        <f>IFERROR(VLOOKUP(C663,Sheet2!B:E,4,0),C663)</f>
        <v>优惠产品</v>
      </c>
    </row>
    <row r="664" spans="1:19" x14ac:dyDescent="0.2">
      <c r="A664" t="s">
        <v>2778</v>
      </c>
      <c r="B664">
        <v>3300</v>
      </c>
      <c r="C664" t="s">
        <v>26</v>
      </c>
      <c r="D664" t="s">
        <v>50</v>
      </c>
      <c r="E664" t="s">
        <v>2779</v>
      </c>
      <c r="F664" t="s">
        <v>2780</v>
      </c>
      <c r="G664" s="2" t="s">
        <v>2781</v>
      </c>
      <c r="H664" t="s">
        <v>18</v>
      </c>
      <c r="I664" t="s">
        <v>69</v>
      </c>
      <c r="J664" t="s">
        <v>70</v>
      </c>
      <c r="K664" t="s">
        <v>930</v>
      </c>
      <c r="L664" t="s">
        <v>930</v>
      </c>
      <c r="M664" t="s">
        <v>71</v>
      </c>
      <c r="N664" t="s">
        <v>47</v>
      </c>
      <c r="O664" t="s">
        <v>33</v>
      </c>
      <c r="P664" t="s">
        <v>34</v>
      </c>
      <c r="Q664">
        <v>1</v>
      </c>
      <c r="R664">
        <v>0</v>
      </c>
      <c r="S664" s="2" t="str">
        <f>IFERROR(VLOOKUP(C664,Sheet2!B:E,4,0),C664)</f>
        <v>一般产品</v>
      </c>
    </row>
    <row r="665" spans="1:19" x14ac:dyDescent="0.2">
      <c r="A665" t="s">
        <v>2782</v>
      </c>
      <c r="B665">
        <v>2400</v>
      </c>
      <c r="C665" t="s">
        <v>589</v>
      </c>
      <c r="D665" t="s">
        <v>50</v>
      </c>
      <c r="E665" t="s">
        <v>619</v>
      </c>
      <c r="F665" t="s">
        <v>1452</v>
      </c>
      <c r="G665" s="2" t="s">
        <v>1453</v>
      </c>
      <c r="H665" t="s">
        <v>18</v>
      </c>
      <c r="I665" t="s">
        <v>156</v>
      </c>
      <c r="J665" t="s">
        <v>157</v>
      </c>
      <c r="K665" t="s">
        <v>930</v>
      </c>
      <c r="L665" t="s">
        <v>930</v>
      </c>
      <c r="M665" t="s">
        <v>158</v>
      </c>
      <c r="N665" t="s">
        <v>146</v>
      </c>
      <c r="O665" t="s">
        <v>33</v>
      </c>
      <c r="P665" t="s">
        <v>34</v>
      </c>
      <c r="Q665">
        <v>1</v>
      </c>
      <c r="R665">
        <v>0</v>
      </c>
      <c r="S665" s="2" t="str">
        <f>IFERROR(VLOOKUP(C665,Sheet2!B:E,4,0),C665)</f>
        <v>优惠产品</v>
      </c>
    </row>
    <row r="666" spans="1:19" x14ac:dyDescent="0.2">
      <c r="A666" t="s">
        <v>2783</v>
      </c>
      <c r="B666">
        <v>2499</v>
      </c>
      <c r="C666" t="s">
        <v>575</v>
      </c>
      <c r="D666" t="s">
        <v>50</v>
      </c>
      <c r="E666" t="s">
        <v>664</v>
      </c>
      <c r="F666" t="s">
        <v>1243</v>
      </c>
      <c r="G666" s="2" t="s">
        <v>1244</v>
      </c>
      <c r="H666" t="s">
        <v>18</v>
      </c>
      <c r="I666" t="s">
        <v>111</v>
      </c>
      <c r="J666" t="s">
        <v>112</v>
      </c>
      <c r="K666" t="s">
        <v>930</v>
      </c>
      <c r="L666" t="s">
        <v>930</v>
      </c>
      <c r="M666" t="s">
        <v>113</v>
      </c>
      <c r="N666" t="s">
        <v>114</v>
      </c>
      <c r="O666" t="s">
        <v>24</v>
      </c>
      <c r="P666" t="s">
        <v>25</v>
      </c>
      <c r="Q666">
        <v>1</v>
      </c>
      <c r="R666">
        <v>0</v>
      </c>
      <c r="S666" s="2" t="str">
        <f>IFERROR(VLOOKUP(C666,Sheet2!B:E,4,0),C666)</f>
        <v>优惠产品</v>
      </c>
    </row>
    <row r="667" spans="1:19" x14ac:dyDescent="0.2">
      <c r="A667" t="s">
        <v>2784</v>
      </c>
      <c r="B667">
        <v>1900</v>
      </c>
      <c r="C667" t="s">
        <v>26</v>
      </c>
      <c r="D667" t="s">
        <v>50</v>
      </c>
      <c r="E667" t="s">
        <v>594</v>
      </c>
      <c r="F667" t="s">
        <v>1491</v>
      </c>
      <c r="G667" s="2" t="s">
        <v>1492</v>
      </c>
      <c r="H667" t="s">
        <v>18</v>
      </c>
      <c r="I667" t="s">
        <v>107</v>
      </c>
      <c r="J667" t="s">
        <v>1046</v>
      </c>
      <c r="K667" t="s">
        <v>930</v>
      </c>
      <c r="L667" t="s">
        <v>930</v>
      </c>
      <c r="M667" t="s">
        <v>1047</v>
      </c>
      <c r="N667" t="s">
        <v>108</v>
      </c>
      <c r="O667" t="s">
        <v>33</v>
      </c>
      <c r="P667" t="s">
        <v>34</v>
      </c>
      <c r="Q667">
        <v>1</v>
      </c>
      <c r="R667">
        <v>0</v>
      </c>
      <c r="S667" s="2" t="str">
        <f>IFERROR(VLOOKUP(C667,Sheet2!B:E,4,0),C667)</f>
        <v>一般产品</v>
      </c>
    </row>
    <row r="668" spans="1:19" x14ac:dyDescent="0.2">
      <c r="A668" t="s">
        <v>2785</v>
      </c>
      <c r="B668">
        <v>3499</v>
      </c>
      <c r="C668" t="s">
        <v>575</v>
      </c>
      <c r="D668" t="s">
        <v>50</v>
      </c>
      <c r="E668" t="s">
        <v>2786</v>
      </c>
      <c r="F668" t="s">
        <v>246</v>
      </c>
      <c r="G668" s="2" t="s">
        <v>247</v>
      </c>
      <c r="H668" t="s">
        <v>18</v>
      </c>
      <c r="I668" t="s">
        <v>248</v>
      </c>
      <c r="J668" t="s">
        <v>249</v>
      </c>
      <c r="K668" t="s">
        <v>930</v>
      </c>
      <c r="L668" t="s">
        <v>930</v>
      </c>
      <c r="M668" t="s">
        <v>1049</v>
      </c>
      <c r="N668" t="s">
        <v>73</v>
      </c>
      <c r="O668" t="s">
        <v>24</v>
      </c>
      <c r="P668" t="s">
        <v>25</v>
      </c>
      <c r="Q668">
        <v>1</v>
      </c>
      <c r="R668">
        <v>0</v>
      </c>
      <c r="S668" s="2" t="str">
        <f>IFERROR(VLOOKUP(C668,Sheet2!B:E,4,0),C668)</f>
        <v>优惠产品</v>
      </c>
    </row>
    <row r="669" spans="1:19" x14ac:dyDescent="0.2">
      <c r="A669" t="s">
        <v>2787</v>
      </c>
      <c r="B669">
        <v>4000</v>
      </c>
      <c r="C669" t="s">
        <v>575</v>
      </c>
      <c r="D669" t="s">
        <v>971</v>
      </c>
      <c r="E669" t="s">
        <v>2788</v>
      </c>
      <c r="F669" t="s">
        <v>989</v>
      </c>
      <c r="G669" s="2" t="s">
        <v>990</v>
      </c>
      <c r="H669" t="s">
        <v>18</v>
      </c>
      <c r="I669" t="s">
        <v>169</v>
      </c>
      <c r="J669" t="s">
        <v>170</v>
      </c>
      <c r="K669" t="s">
        <v>930</v>
      </c>
      <c r="L669" t="s">
        <v>930</v>
      </c>
      <c r="M669" t="s">
        <v>171</v>
      </c>
      <c r="N669" t="s">
        <v>38</v>
      </c>
      <c r="O669" t="s">
        <v>39</v>
      </c>
      <c r="P669" t="s">
        <v>25</v>
      </c>
      <c r="Q669">
        <v>1</v>
      </c>
      <c r="R669">
        <v>0</v>
      </c>
      <c r="S669" s="2" t="str">
        <f>IFERROR(VLOOKUP(C669,Sheet2!B:E,4,0),C669)</f>
        <v>优惠产品</v>
      </c>
    </row>
    <row r="670" spans="1:19" x14ac:dyDescent="0.2">
      <c r="A670" t="s">
        <v>2789</v>
      </c>
      <c r="B670">
        <v>4488</v>
      </c>
      <c r="C670" t="s">
        <v>589</v>
      </c>
      <c r="D670" t="s">
        <v>2257</v>
      </c>
      <c r="E670" t="s">
        <v>1335</v>
      </c>
      <c r="F670" t="s">
        <v>992</v>
      </c>
      <c r="G670" s="2" t="s">
        <v>993</v>
      </c>
      <c r="H670" t="s">
        <v>18</v>
      </c>
      <c r="I670" t="s">
        <v>76</v>
      </c>
      <c r="J670" t="s">
        <v>77</v>
      </c>
      <c r="K670" t="s">
        <v>930</v>
      </c>
      <c r="L670" t="s">
        <v>930</v>
      </c>
      <c r="M670" t="s">
        <v>78</v>
      </c>
      <c r="N670" t="s">
        <v>44</v>
      </c>
      <c r="O670" t="s">
        <v>24</v>
      </c>
      <c r="P670" t="s">
        <v>25</v>
      </c>
      <c r="Q670">
        <v>1</v>
      </c>
      <c r="R670">
        <v>0</v>
      </c>
      <c r="S670" s="2" t="str">
        <f>IFERROR(VLOOKUP(C670,Sheet2!B:E,4,0),C670)</f>
        <v>优惠产品</v>
      </c>
    </row>
    <row r="671" spans="1:19" x14ac:dyDescent="0.2">
      <c r="A671" t="s">
        <v>2790</v>
      </c>
      <c r="B671">
        <v>3098</v>
      </c>
      <c r="C671" t="s">
        <v>575</v>
      </c>
      <c r="D671" t="s">
        <v>50</v>
      </c>
      <c r="E671" t="s">
        <v>263</v>
      </c>
      <c r="F671" t="s">
        <v>799</v>
      </c>
      <c r="G671" s="2" t="s">
        <v>800</v>
      </c>
      <c r="H671" t="s">
        <v>18</v>
      </c>
      <c r="I671" t="s">
        <v>111</v>
      </c>
      <c r="J671" t="s">
        <v>112</v>
      </c>
      <c r="K671" t="s">
        <v>930</v>
      </c>
      <c r="L671" t="s">
        <v>930</v>
      </c>
      <c r="M671" t="s">
        <v>113</v>
      </c>
      <c r="N671" t="s">
        <v>114</v>
      </c>
      <c r="O671" t="s">
        <v>24</v>
      </c>
      <c r="P671" t="s">
        <v>25</v>
      </c>
      <c r="Q671">
        <v>1</v>
      </c>
      <c r="R671">
        <v>0</v>
      </c>
      <c r="S671" s="2" t="str">
        <f>IFERROR(VLOOKUP(C671,Sheet2!B:E,4,0),C671)</f>
        <v>优惠产品</v>
      </c>
    </row>
    <row r="672" spans="1:19" x14ac:dyDescent="0.2">
      <c r="A672" t="s">
        <v>2791</v>
      </c>
      <c r="B672">
        <v>3500</v>
      </c>
      <c r="C672" t="s">
        <v>26</v>
      </c>
      <c r="D672" t="s">
        <v>50</v>
      </c>
      <c r="E672" t="s">
        <v>567</v>
      </c>
      <c r="F672" t="s">
        <v>1199</v>
      </c>
      <c r="G672" s="2" t="s">
        <v>1200</v>
      </c>
      <c r="H672" t="s">
        <v>18</v>
      </c>
      <c r="I672" t="s">
        <v>286</v>
      </c>
      <c r="J672" t="s">
        <v>287</v>
      </c>
      <c r="K672" t="s">
        <v>930</v>
      </c>
      <c r="L672" t="s">
        <v>930</v>
      </c>
      <c r="M672" t="s">
        <v>288</v>
      </c>
      <c r="N672" t="s">
        <v>85</v>
      </c>
      <c r="O672" t="s">
        <v>33</v>
      </c>
      <c r="P672" t="s">
        <v>34</v>
      </c>
      <c r="Q672">
        <v>1</v>
      </c>
      <c r="R672">
        <v>0</v>
      </c>
      <c r="S672" s="2" t="str">
        <f>IFERROR(VLOOKUP(C672,Sheet2!B:E,4,0),C672)</f>
        <v>一般产品</v>
      </c>
    </row>
    <row r="673" spans="1:19" x14ac:dyDescent="0.2">
      <c r="A673" t="s">
        <v>2792</v>
      </c>
      <c r="B673">
        <v>3498</v>
      </c>
      <c r="C673" t="s">
        <v>589</v>
      </c>
      <c r="D673" t="s">
        <v>2257</v>
      </c>
      <c r="E673" t="s">
        <v>2793</v>
      </c>
      <c r="F673" t="s">
        <v>1161</v>
      </c>
      <c r="G673" s="2" t="s">
        <v>1162</v>
      </c>
      <c r="H673" t="s">
        <v>18</v>
      </c>
      <c r="I673" t="s">
        <v>74</v>
      </c>
      <c r="J673" t="s">
        <v>75</v>
      </c>
      <c r="K673" t="s">
        <v>930</v>
      </c>
      <c r="L673" t="s">
        <v>930</v>
      </c>
      <c r="M673" t="s">
        <v>938</v>
      </c>
      <c r="N673" t="s">
        <v>44</v>
      </c>
      <c r="O673" t="s">
        <v>24</v>
      </c>
      <c r="P673" t="s">
        <v>25</v>
      </c>
      <c r="Q673">
        <v>1</v>
      </c>
      <c r="R673">
        <v>0</v>
      </c>
      <c r="S673" s="2" t="str">
        <f>IFERROR(VLOOKUP(C673,Sheet2!B:E,4,0),C673)</f>
        <v>优惠产品</v>
      </c>
    </row>
    <row r="674" spans="1:19" x14ac:dyDescent="0.2">
      <c r="A674" t="s">
        <v>2794</v>
      </c>
      <c r="B674">
        <v>3000</v>
      </c>
      <c r="C674" t="s">
        <v>26</v>
      </c>
      <c r="D674" t="s">
        <v>50</v>
      </c>
      <c r="E674" t="s">
        <v>96</v>
      </c>
      <c r="F674" t="s">
        <v>1459</v>
      </c>
      <c r="G674" s="2" t="s">
        <v>1460</v>
      </c>
      <c r="H674" t="s">
        <v>28</v>
      </c>
      <c r="I674" t="s">
        <v>97</v>
      </c>
      <c r="J674" t="s">
        <v>98</v>
      </c>
      <c r="K674" t="s">
        <v>930</v>
      </c>
      <c r="L674" t="s">
        <v>930</v>
      </c>
      <c r="M674" t="s">
        <v>99</v>
      </c>
      <c r="N674" t="s">
        <v>55</v>
      </c>
      <c r="O674" t="s">
        <v>33</v>
      </c>
      <c r="P674" t="s">
        <v>34</v>
      </c>
      <c r="Q674">
        <v>1</v>
      </c>
      <c r="R674">
        <v>0</v>
      </c>
      <c r="S674" s="2" t="str">
        <f>IFERROR(VLOOKUP(C674,Sheet2!B:E,4,0),C674)</f>
        <v>一般产品</v>
      </c>
    </row>
    <row r="675" spans="1:19" x14ac:dyDescent="0.2">
      <c r="A675" t="s">
        <v>2795</v>
      </c>
      <c r="B675">
        <v>2200</v>
      </c>
      <c r="C675" t="s">
        <v>26</v>
      </c>
      <c r="D675" t="s">
        <v>50</v>
      </c>
      <c r="E675" t="s">
        <v>1287</v>
      </c>
      <c r="F675" t="s">
        <v>1028</v>
      </c>
      <c r="G675" s="2" t="s">
        <v>1029</v>
      </c>
      <c r="H675" t="s">
        <v>18</v>
      </c>
      <c r="I675" t="s">
        <v>221</v>
      </c>
      <c r="J675" t="s">
        <v>222</v>
      </c>
      <c r="K675" t="s">
        <v>930</v>
      </c>
      <c r="L675" t="s">
        <v>930</v>
      </c>
      <c r="M675" t="s">
        <v>223</v>
      </c>
      <c r="N675" t="s">
        <v>55</v>
      </c>
      <c r="O675" t="s">
        <v>33</v>
      </c>
      <c r="P675" t="s">
        <v>34</v>
      </c>
      <c r="Q675">
        <v>1</v>
      </c>
      <c r="R675">
        <v>0</v>
      </c>
      <c r="S675" s="2" t="str">
        <f>IFERROR(VLOOKUP(C675,Sheet2!B:E,4,0),C675)</f>
        <v>一般产品</v>
      </c>
    </row>
    <row r="676" spans="1:19" x14ac:dyDescent="0.2">
      <c r="A676" t="s">
        <v>2796</v>
      </c>
      <c r="B676">
        <v>3000</v>
      </c>
      <c r="C676" t="s">
        <v>26</v>
      </c>
      <c r="D676" t="s">
        <v>50</v>
      </c>
      <c r="E676" t="s">
        <v>1316</v>
      </c>
      <c r="F676" t="s">
        <v>1084</v>
      </c>
      <c r="G676" s="2" t="s">
        <v>1085</v>
      </c>
      <c r="H676" t="s">
        <v>28</v>
      </c>
      <c r="I676" t="s">
        <v>107</v>
      </c>
      <c r="J676" t="s">
        <v>1046</v>
      </c>
      <c r="K676" t="s">
        <v>930</v>
      </c>
      <c r="L676" t="s">
        <v>930</v>
      </c>
      <c r="M676" t="s">
        <v>1047</v>
      </c>
      <c r="N676" t="s">
        <v>108</v>
      </c>
      <c r="O676" t="s">
        <v>33</v>
      </c>
      <c r="P676" t="s">
        <v>34</v>
      </c>
      <c r="Q676">
        <v>1</v>
      </c>
      <c r="R676">
        <v>0</v>
      </c>
      <c r="S676" s="2" t="str">
        <f>IFERROR(VLOOKUP(C676,Sheet2!B:E,4,0),C676)</f>
        <v>一般产品</v>
      </c>
    </row>
    <row r="677" spans="1:19" x14ac:dyDescent="0.2">
      <c r="A677" t="s">
        <v>2797</v>
      </c>
      <c r="B677">
        <v>3980</v>
      </c>
      <c r="C677" t="s">
        <v>575</v>
      </c>
      <c r="D677" t="s">
        <v>971</v>
      </c>
      <c r="E677" t="s">
        <v>1475</v>
      </c>
      <c r="F677" t="s">
        <v>2327</v>
      </c>
      <c r="G677" s="2" t="s">
        <v>2328</v>
      </c>
      <c r="H677" t="s">
        <v>28</v>
      </c>
      <c r="I677" t="s">
        <v>151</v>
      </c>
      <c r="J677" t="s">
        <v>152</v>
      </c>
      <c r="K677" t="s">
        <v>930</v>
      </c>
      <c r="L677" t="s">
        <v>930</v>
      </c>
      <c r="M677" t="s">
        <v>153</v>
      </c>
      <c r="N677" t="s">
        <v>61</v>
      </c>
      <c r="O677" t="s">
        <v>129</v>
      </c>
      <c r="P677" t="s">
        <v>25</v>
      </c>
      <c r="Q677">
        <v>1</v>
      </c>
      <c r="R677">
        <v>0</v>
      </c>
      <c r="S677" s="2" t="str">
        <f>IFERROR(VLOOKUP(C677,Sheet2!B:E,4,0),C677)</f>
        <v>优惠产品</v>
      </c>
    </row>
    <row r="678" spans="1:19" x14ac:dyDescent="0.2">
      <c r="A678" t="s">
        <v>2798</v>
      </c>
      <c r="B678">
        <v>1498</v>
      </c>
      <c r="C678" t="s">
        <v>575</v>
      </c>
      <c r="D678" t="s">
        <v>50</v>
      </c>
      <c r="E678" t="s">
        <v>2799</v>
      </c>
      <c r="F678" t="s">
        <v>1100</v>
      </c>
      <c r="G678" s="2" t="s">
        <v>1101</v>
      </c>
      <c r="H678" t="s">
        <v>28</v>
      </c>
      <c r="I678" t="s">
        <v>343</v>
      </c>
      <c r="J678" t="s">
        <v>344</v>
      </c>
      <c r="K678" t="s">
        <v>930</v>
      </c>
      <c r="L678" t="s">
        <v>930</v>
      </c>
      <c r="M678" t="s">
        <v>345</v>
      </c>
      <c r="N678" t="s">
        <v>114</v>
      </c>
      <c r="O678" t="s">
        <v>24</v>
      </c>
      <c r="P678" t="s">
        <v>25</v>
      </c>
      <c r="Q678">
        <v>1</v>
      </c>
      <c r="R678">
        <v>0</v>
      </c>
      <c r="S678" s="2" t="str">
        <f>IFERROR(VLOOKUP(C678,Sheet2!B:E,4,0),C678)</f>
        <v>优惠产品</v>
      </c>
    </row>
    <row r="679" spans="1:19" x14ac:dyDescent="0.2">
      <c r="A679" t="s">
        <v>2800</v>
      </c>
      <c r="B679">
        <v>2500</v>
      </c>
      <c r="C679" t="s">
        <v>26</v>
      </c>
      <c r="D679" t="s">
        <v>50</v>
      </c>
      <c r="E679" t="s">
        <v>2486</v>
      </c>
      <c r="F679" t="s">
        <v>617</v>
      </c>
      <c r="G679" s="2" t="s">
        <v>618</v>
      </c>
      <c r="H679" t="s">
        <v>18</v>
      </c>
      <c r="I679" t="s">
        <v>421</v>
      </c>
      <c r="J679" t="s">
        <v>422</v>
      </c>
      <c r="K679" t="s">
        <v>930</v>
      </c>
      <c r="L679" t="s">
        <v>930</v>
      </c>
      <c r="M679" t="s">
        <v>423</v>
      </c>
      <c r="N679" t="s">
        <v>68</v>
      </c>
      <c r="O679" t="s">
        <v>33</v>
      </c>
      <c r="P679" t="s">
        <v>34</v>
      </c>
      <c r="Q679">
        <v>1</v>
      </c>
      <c r="R679">
        <v>0</v>
      </c>
      <c r="S679" s="2" t="str">
        <f>IFERROR(VLOOKUP(C679,Sheet2!B:E,4,0),C679)</f>
        <v>一般产品</v>
      </c>
    </row>
    <row r="680" spans="1:19" x14ac:dyDescent="0.2">
      <c r="A680" t="s">
        <v>2801</v>
      </c>
      <c r="B680">
        <v>3000</v>
      </c>
      <c r="C680" t="s">
        <v>26</v>
      </c>
      <c r="D680" t="s">
        <v>50</v>
      </c>
      <c r="E680" t="s">
        <v>2802</v>
      </c>
      <c r="F680" t="s">
        <v>1340</v>
      </c>
      <c r="G680" s="2" t="s">
        <v>515</v>
      </c>
      <c r="H680" t="s">
        <v>18</v>
      </c>
      <c r="I680" t="s">
        <v>164</v>
      </c>
      <c r="J680" t="s">
        <v>165</v>
      </c>
      <c r="K680" t="s">
        <v>930</v>
      </c>
      <c r="L680" t="s">
        <v>930</v>
      </c>
      <c r="M680" t="s">
        <v>166</v>
      </c>
      <c r="N680" t="s">
        <v>55</v>
      </c>
      <c r="O680" t="s">
        <v>33</v>
      </c>
      <c r="P680" t="s">
        <v>34</v>
      </c>
      <c r="Q680">
        <v>1</v>
      </c>
      <c r="R680">
        <v>0</v>
      </c>
      <c r="S680" s="2" t="str">
        <f>IFERROR(VLOOKUP(C680,Sheet2!B:E,4,0),C680)</f>
        <v>一般产品</v>
      </c>
    </row>
    <row r="681" spans="1:19" x14ac:dyDescent="0.2">
      <c r="A681" t="s">
        <v>2803</v>
      </c>
      <c r="B681">
        <v>3498</v>
      </c>
      <c r="C681" t="s">
        <v>26</v>
      </c>
      <c r="D681" t="s">
        <v>2257</v>
      </c>
      <c r="E681" t="s">
        <v>1175</v>
      </c>
      <c r="F681" t="s">
        <v>653</v>
      </c>
      <c r="G681" s="2" t="s">
        <v>654</v>
      </c>
      <c r="H681" t="s">
        <v>18</v>
      </c>
      <c r="I681" t="s">
        <v>930</v>
      </c>
      <c r="J681" t="s">
        <v>930</v>
      </c>
      <c r="K681" t="s">
        <v>463</v>
      </c>
      <c r="L681" t="s">
        <v>930</v>
      </c>
      <c r="M681" t="s">
        <v>464</v>
      </c>
      <c r="N681" t="s">
        <v>60</v>
      </c>
      <c r="O681" t="s">
        <v>72</v>
      </c>
      <c r="P681" t="s">
        <v>34</v>
      </c>
      <c r="Q681">
        <v>1</v>
      </c>
      <c r="R681">
        <v>0</v>
      </c>
      <c r="S681" s="2" t="str">
        <f>IFERROR(VLOOKUP(C681,Sheet2!B:E,4,0),C681)</f>
        <v>一般产品</v>
      </c>
    </row>
    <row r="682" spans="1:19" x14ac:dyDescent="0.2">
      <c r="A682" t="s">
        <v>2804</v>
      </c>
      <c r="B682">
        <v>5800</v>
      </c>
      <c r="C682" t="s">
        <v>26</v>
      </c>
      <c r="D682" t="s">
        <v>50</v>
      </c>
      <c r="E682" t="s">
        <v>843</v>
      </c>
      <c r="F682" t="s">
        <v>1026</v>
      </c>
      <c r="G682" s="2" t="s">
        <v>1027</v>
      </c>
      <c r="H682" t="s">
        <v>18</v>
      </c>
      <c r="I682" t="s">
        <v>121</v>
      </c>
      <c r="J682" t="s">
        <v>122</v>
      </c>
      <c r="K682" t="s">
        <v>930</v>
      </c>
      <c r="L682" t="s">
        <v>930</v>
      </c>
      <c r="M682" t="s">
        <v>123</v>
      </c>
      <c r="N682" t="s">
        <v>55</v>
      </c>
      <c r="O682" t="s">
        <v>33</v>
      </c>
      <c r="P682" t="s">
        <v>34</v>
      </c>
      <c r="Q682">
        <v>1</v>
      </c>
      <c r="R682">
        <v>0</v>
      </c>
      <c r="S682" s="2" t="str">
        <f>IFERROR(VLOOKUP(C682,Sheet2!B:E,4,0),C682)</f>
        <v>一般产品</v>
      </c>
    </row>
    <row r="683" spans="1:19" x14ac:dyDescent="0.2">
      <c r="A683" t="s">
        <v>2805</v>
      </c>
      <c r="B683">
        <v>1100</v>
      </c>
      <c r="C683" t="s">
        <v>26</v>
      </c>
      <c r="D683" t="s">
        <v>50</v>
      </c>
      <c r="E683" t="s">
        <v>595</v>
      </c>
      <c r="F683" t="s">
        <v>1039</v>
      </c>
      <c r="G683" s="2" t="s">
        <v>1040</v>
      </c>
      <c r="H683" t="s">
        <v>18</v>
      </c>
      <c r="I683" t="s">
        <v>97</v>
      </c>
      <c r="J683" t="s">
        <v>98</v>
      </c>
      <c r="K683" t="s">
        <v>930</v>
      </c>
      <c r="L683" t="s">
        <v>930</v>
      </c>
      <c r="M683" t="s">
        <v>99</v>
      </c>
      <c r="N683" t="s">
        <v>55</v>
      </c>
      <c r="O683" t="s">
        <v>33</v>
      </c>
      <c r="P683" t="s">
        <v>34</v>
      </c>
      <c r="Q683">
        <v>1</v>
      </c>
      <c r="R683">
        <v>0</v>
      </c>
      <c r="S683" s="2" t="str">
        <f>IFERROR(VLOOKUP(C683,Sheet2!B:E,4,0),C683)</f>
        <v>一般产品</v>
      </c>
    </row>
    <row r="684" spans="1:19" x14ac:dyDescent="0.2">
      <c r="A684" t="s">
        <v>2806</v>
      </c>
      <c r="B684">
        <v>2100</v>
      </c>
      <c r="C684" t="s">
        <v>26</v>
      </c>
      <c r="D684" t="s">
        <v>50</v>
      </c>
      <c r="E684" t="s">
        <v>1490</v>
      </c>
      <c r="F684" t="s">
        <v>2290</v>
      </c>
      <c r="G684" s="2" t="s">
        <v>2291</v>
      </c>
      <c r="H684" t="s">
        <v>18</v>
      </c>
      <c r="I684" t="s">
        <v>107</v>
      </c>
      <c r="J684" t="s">
        <v>1046</v>
      </c>
      <c r="K684" t="s">
        <v>930</v>
      </c>
      <c r="L684" t="s">
        <v>930</v>
      </c>
      <c r="M684" t="s">
        <v>1047</v>
      </c>
      <c r="N684" t="s">
        <v>108</v>
      </c>
      <c r="O684" t="s">
        <v>33</v>
      </c>
      <c r="P684" t="s">
        <v>34</v>
      </c>
      <c r="Q684">
        <v>1</v>
      </c>
      <c r="R684">
        <v>0</v>
      </c>
      <c r="S684" s="2" t="str">
        <f>IFERROR(VLOOKUP(C684,Sheet2!B:E,4,0),C684)</f>
        <v>一般产品</v>
      </c>
    </row>
    <row r="685" spans="1:19" x14ac:dyDescent="0.2">
      <c r="A685" t="s">
        <v>2807</v>
      </c>
      <c r="B685">
        <v>3500</v>
      </c>
      <c r="C685" t="s">
        <v>26</v>
      </c>
      <c r="D685" t="s">
        <v>2257</v>
      </c>
      <c r="E685" t="s">
        <v>616</v>
      </c>
      <c r="F685" t="s">
        <v>639</v>
      </c>
      <c r="G685" s="2" t="s">
        <v>640</v>
      </c>
      <c r="H685" t="s">
        <v>18</v>
      </c>
      <c r="I685" t="s">
        <v>421</v>
      </c>
      <c r="J685" t="s">
        <v>422</v>
      </c>
      <c r="K685" t="s">
        <v>930</v>
      </c>
      <c r="L685" t="s">
        <v>930</v>
      </c>
      <c r="M685" t="s">
        <v>423</v>
      </c>
      <c r="N685" t="s">
        <v>68</v>
      </c>
      <c r="O685" t="s">
        <v>33</v>
      </c>
      <c r="P685" t="s">
        <v>34</v>
      </c>
      <c r="Q685">
        <v>1</v>
      </c>
      <c r="R685">
        <v>0</v>
      </c>
      <c r="S685" s="2" t="str">
        <f>IFERROR(VLOOKUP(C685,Sheet2!B:E,4,0),C685)</f>
        <v>一般产品</v>
      </c>
    </row>
    <row r="686" spans="1:19" x14ac:dyDescent="0.2">
      <c r="A686" t="s">
        <v>2808</v>
      </c>
      <c r="B686">
        <v>3500</v>
      </c>
      <c r="C686" t="s">
        <v>26</v>
      </c>
      <c r="D686" t="s">
        <v>50</v>
      </c>
      <c r="E686" t="s">
        <v>324</v>
      </c>
      <c r="F686" t="s">
        <v>1084</v>
      </c>
      <c r="G686" s="2" t="s">
        <v>1085</v>
      </c>
      <c r="H686" t="s">
        <v>28</v>
      </c>
      <c r="I686" t="s">
        <v>107</v>
      </c>
      <c r="J686" t="s">
        <v>1046</v>
      </c>
      <c r="K686" t="s">
        <v>930</v>
      </c>
      <c r="L686" t="s">
        <v>930</v>
      </c>
      <c r="M686" t="s">
        <v>1047</v>
      </c>
      <c r="N686" t="s">
        <v>108</v>
      </c>
      <c r="O686" t="s">
        <v>33</v>
      </c>
      <c r="P686" t="s">
        <v>34</v>
      </c>
      <c r="Q686">
        <v>1</v>
      </c>
      <c r="R686">
        <v>0</v>
      </c>
      <c r="S686" s="2" t="str">
        <f>IFERROR(VLOOKUP(C686,Sheet2!B:E,4,0),C686)</f>
        <v>一般产品</v>
      </c>
    </row>
    <row r="687" spans="1:19" x14ac:dyDescent="0.2">
      <c r="A687" t="s">
        <v>2809</v>
      </c>
      <c r="B687">
        <v>2299</v>
      </c>
      <c r="C687" t="s">
        <v>26</v>
      </c>
      <c r="D687" t="s">
        <v>970</v>
      </c>
      <c r="E687" t="s">
        <v>1294</v>
      </c>
      <c r="F687" t="s">
        <v>1295</v>
      </c>
      <c r="G687" s="2" t="s">
        <v>1296</v>
      </c>
      <c r="H687" t="s">
        <v>18</v>
      </c>
      <c r="I687" t="s">
        <v>182</v>
      </c>
      <c r="J687" t="s">
        <v>183</v>
      </c>
      <c r="K687" t="s">
        <v>930</v>
      </c>
      <c r="L687" t="s">
        <v>930</v>
      </c>
      <c r="M687" t="s">
        <v>184</v>
      </c>
      <c r="N687" t="s">
        <v>85</v>
      </c>
      <c r="O687" t="s">
        <v>33</v>
      </c>
      <c r="P687" t="s">
        <v>34</v>
      </c>
      <c r="Q687">
        <v>1</v>
      </c>
      <c r="R687">
        <v>0</v>
      </c>
      <c r="S687" s="2" t="str">
        <f>IFERROR(VLOOKUP(C687,Sheet2!B:E,4,0),C687)</f>
        <v>一般产品</v>
      </c>
    </row>
    <row r="688" spans="1:19" x14ac:dyDescent="0.2">
      <c r="A688" t="s">
        <v>2810</v>
      </c>
      <c r="B688">
        <v>2999</v>
      </c>
      <c r="C688" t="s">
        <v>26</v>
      </c>
      <c r="D688" t="s">
        <v>50</v>
      </c>
      <c r="E688" t="s">
        <v>1219</v>
      </c>
      <c r="F688" t="s">
        <v>831</v>
      </c>
      <c r="G688" s="2" t="s">
        <v>832</v>
      </c>
      <c r="H688" t="s">
        <v>18</v>
      </c>
      <c r="I688" t="s">
        <v>81</v>
      </c>
      <c r="J688" t="s">
        <v>1230</v>
      </c>
      <c r="K688" t="s">
        <v>930</v>
      </c>
      <c r="L688" t="s">
        <v>930</v>
      </c>
      <c r="M688" t="s">
        <v>1231</v>
      </c>
      <c r="N688" t="s">
        <v>68</v>
      </c>
      <c r="O688" t="s">
        <v>33</v>
      </c>
      <c r="P688" t="s">
        <v>34</v>
      </c>
      <c r="Q688">
        <v>1</v>
      </c>
      <c r="R688">
        <v>0</v>
      </c>
      <c r="S688" s="2" t="str">
        <f>IFERROR(VLOOKUP(C688,Sheet2!B:E,4,0),C688)</f>
        <v>一般产品</v>
      </c>
    </row>
    <row r="689" spans="1:19" x14ac:dyDescent="0.2">
      <c r="A689" t="s">
        <v>2811</v>
      </c>
      <c r="B689">
        <v>2899</v>
      </c>
      <c r="C689" t="s">
        <v>26</v>
      </c>
      <c r="D689" t="s">
        <v>2257</v>
      </c>
      <c r="E689" t="s">
        <v>542</v>
      </c>
      <c r="F689" t="s">
        <v>2550</v>
      </c>
      <c r="G689" s="2" t="s">
        <v>2551</v>
      </c>
      <c r="H689" t="s">
        <v>18</v>
      </c>
      <c r="I689" t="s">
        <v>301</v>
      </c>
      <c r="J689" t="s">
        <v>302</v>
      </c>
      <c r="K689" t="s">
        <v>930</v>
      </c>
      <c r="L689" t="s">
        <v>930</v>
      </c>
      <c r="M689" t="s">
        <v>303</v>
      </c>
      <c r="N689" t="s">
        <v>194</v>
      </c>
      <c r="O689" t="s">
        <v>24</v>
      </c>
      <c r="P689" t="s">
        <v>25</v>
      </c>
      <c r="Q689">
        <v>1</v>
      </c>
      <c r="R689">
        <v>0</v>
      </c>
      <c r="S689" s="2" t="str">
        <f>IFERROR(VLOOKUP(C689,Sheet2!B:E,4,0),C689)</f>
        <v>一般产品</v>
      </c>
    </row>
    <row r="690" spans="1:19" x14ac:dyDescent="0.2">
      <c r="A690" t="s">
        <v>2812</v>
      </c>
      <c r="B690">
        <v>3980</v>
      </c>
      <c r="C690" t="s">
        <v>575</v>
      </c>
      <c r="D690" t="s">
        <v>971</v>
      </c>
      <c r="E690" t="s">
        <v>557</v>
      </c>
      <c r="F690" t="s">
        <v>1358</v>
      </c>
      <c r="G690" s="2" t="s">
        <v>1359</v>
      </c>
      <c r="H690" t="s">
        <v>18</v>
      </c>
      <c r="I690" t="s">
        <v>151</v>
      </c>
      <c r="J690" t="s">
        <v>152</v>
      </c>
      <c r="K690" t="s">
        <v>930</v>
      </c>
      <c r="L690" t="s">
        <v>930</v>
      </c>
      <c r="M690" t="s">
        <v>153</v>
      </c>
      <c r="N690" t="s">
        <v>61</v>
      </c>
      <c r="O690" t="s">
        <v>129</v>
      </c>
      <c r="P690" t="s">
        <v>25</v>
      </c>
      <c r="Q690">
        <v>1</v>
      </c>
      <c r="R690">
        <v>0</v>
      </c>
      <c r="S690" s="2" t="str">
        <f>IFERROR(VLOOKUP(C690,Sheet2!B:E,4,0),C690)</f>
        <v>优惠产品</v>
      </c>
    </row>
    <row r="691" spans="1:19" x14ac:dyDescent="0.2">
      <c r="A691" t="s">
        <v>2813</v>
      </c>
      <c r="B691">
        <v>3980</v>
      </c>
      <c r="C691" t="s">
        <v>575</v>
      </c>
      <c r="D691" t="s">
        <v>971</v>
      </c>
      <c r="E691" t="s">
        <v>557</v>
      </c>
      <c r="F691" t="s">
        <v>1358</v>
      </c>
      <c r="G691" s="2" t="s">
        <v>1359</v>
      </c>
      <c r="H691" t="s">
        <v>18</v>
      </c>
      <c r="I691" t="s">
        <v>151</v>
      </c>
      <c r="J691" t="s">
        <v>152</v>
      </c>
      <c r="K691" t="s">
        <v>930</v>
      </c>
      <c r="L691" t="s">
        <v>930</v>
      </c>
      <c r="M691" t="s">
        <v>153</v>
      </c>
      <c r="N691" t="s">
        <v>61</v>
      </c>
      <c r="O691" t="s">
        <v>129</v>
      </c>
      <c r="P691" t="s">
        <v>25</v>
      </c>
      <c r="Q691">
        <v>1</v>
      </c>
      <c r="R691">
        <v>0</v>
      </c>
      <c r="S691" s="2" t="str">
        <f>IFERROR(VLOOKUP(C691,Sheet2!B:E,4,0),C691)</f>
        <v>优惠产品</v>
      </c>
    </row>
    <row r="692" spans="1:19" x14ac:dyDescent="0.2">
      <c r="A692" t="s">
        <v>2814</v>
      </c>
      <c r="B692">
        <v>1200</v>
      </c>
      <c r="C692" t="s">
        <v>575</v>
      </c>
      <c r="D692" t="s">
        <v>50</v>
      </c>
      <c r="E692" t="s">
        <v>263</v>
      </c>
      <c r="F692" t="s">
        <v>335</v>
      </c>
      <c r="G692" s="2" t="s">
        <v>336</v>
      </c>
      <c r="H692" t="s">
        <v>18</v>
      </c>
      <c r="I692" t="s">
        <v>111</v>
      </c>
      <c r="J692" t="s">
        <v>112</v>
      </c>
      <c r="K692" t="s">
        <v>930</v>
      </c>
      <c r="L692" t="s">
        <v>930</v>
      </c>
      <c r="M692" t="s">
        <v>113</v>
      </c>
      <c r="N692" t="s">
        <v>114</v>
      </c>
      <c r="O692" t="s">
        <v>24</v>
      </c>
      <c r="P692" t="s">
        <v>25</v>
      </c>
      <c r="Q692">
        <v>1</v>
      </c>
      <c r="R692">
        <v>0</v>
      </c>
      <c r="S692" s="2" t="str">
        <f>IFERROR(VLOOKUP(C692,Sheet2!B:E,4,0),C692)</f>
        <v>优惠产品</v>
      </c>
    </row>
    <row r="693" spans="1:19" x14ac:dyDescent="0.2">
      <c r="A693" t="s">
        <v>2815</v>
      </c>
      <c r="B693">
        <v>4000</v>
      </c>
      <c r="C693" t="s">
        <v>26</v>
      </c>
      <c r="D693" t="s">
        <v>2257</v>
      </c>
      <c r="E693" t="s">
        <v>2816</v>
      </c>
      <c r="F693" t="s">
        <v>1227</v>
      </c>
      <c r="G693" s="2" t="s">
        <v>1228</v>
      </c>
      <c r="H693" t="s">
        <v>18</v>
      </c>
      <c r="I693" t="s">
        <v>421</v>
      </c>
      <c r="J693" t="s">
        <v>422</v>
      </c>
      <c r="K693" t="s">
        <v>930</v>
      </c>
      <c r="L693" t="s">
        <v>930</v>
      </c>
      <c r="M693" t="s">
        <v>423</v>
      </c>
      <c r="N693" t="s">
        <v>68</v>
      </c>
      <c r="O693" t="s">
        <v>33</v>
      </c>
      <c r="P693" t="s">
        <v>34</v>
      </c>
      <c r="Q693">
        <v>1</v>
      </c>
      <c r="R693">
        <v>0</v>
      </c>
      <c r="S693" s="2" t="str">
        <f>IFERROR(VLOOKUP(C693,Sheet2!B:E,4,0),C693)</f>
        <v>一般产品</v>
      </c>
    </row>
    <row r="694" spans="1:19" x14ac:dyDescent="0.2">
      <c r="A694" t="s">
        <v>2817</v>
      </c>
      <c r="B694">
        <v>2999</v>
      </c>
      <c r="C694" t="s">
        <v>26</v>
      </c>
      <c r="D694" t="s">
        <v>2257</v>
      </c>
      <c r="E694" t="s">
        <v>2818</v>
      </c>
      <c r="F694" t="s">
        <v>849</v>
      </c>
      <c r="G694" s="2" t="s">
        <v>850</v>
      </c>
      <c r="H694" t="s">
        <v>18</v>
      </c>
      <c r="I694" t="s">
        <v>81</v>
      </c>
      <c r="J694" t="s">
        <v>1230</v>
      </c>
      <c r="K694" t="s">
        <v>930</v>
      </c>
      <c r="L694" t="s">
        <v>930</v>
      </c>
      <c r="M694" t="s">
        <v>1231</v>
      </c>
      <c r="N694" t="s">
        <v>68</v>
      </c>
      <c r="O694" t="s">
        <v>33</v>
      </c>
      <c r="P694" t="s">
        <v>34</v>
      </c>
      <c r="Q694">
        <v>1</v>
      </c>
      <c r="R694">
        <v>0</v>
      </c>
      <c r="S694" s="2" t="str">
        <f>IFERROR(VLOOKUP(C694,Sheet2!B:E,4,0),C694)</f>
        <v>一般产品</v>
      </c>
    </row>
    <row r="695" spans="1:19" x14ac:dyDescent="0.2">
      <c r="A695" t="s">
        <v>2819</v>
      </c>
      <c r="B695">
        <v>3100</v>
      </c>
      <c r="C695" t="s">
        <v>26</v>
      </c>
      <c r="D695" t="s">
        <v>50</v>
      </c>
      <c r="E695" t="s">
        <v>843</v>
      </c>
      <c r="F695" t="s">
        <v>1026</v>
      </c>
      <c r="G695" s="2" t="s">
        <v>1027</v>
      </c>
      <c r="H695" t="s">
        <v>18</v>
      </c>
      <c r="I695" t="s">
        <v>121</v>
      </c>
      <c r="J695" t="s">
        <v>122</v>
      </c>
      <c r="K695" t="s">
        <v>930</v>
      </c>
      <c r="L695" t="s">
        <v>930</v>
      </c>
      <c r="M695" t="s">
        <v>123</v>
      </c>
      <c r="N695" t="s">
        <v>55</v>
      </c>
      <c r="O695" t="s">
        <v>33</v>
      </c>
      <c r="P695" t="s">
        <v>34</v>
      </c>
      <c r="Q695">
        <v>1</v>
      </c>
      <c r="R695">
        <v>0</v>
      </c>
      <c r="S695" s="2" t="str">
        <f>IFERROR(VLOOKUP(C695,Sheet2!B:E,4,0),C695)</f>
        <v>一般产品</v>
      </c>
    </row>
    <row r="696" spans="1:19" x14ac:dyDescent="0.2">
      <c r="A696" t="s">
        <v>2820</v>
      </c>
      <c r="B696">
        <v>2999</v>
      </c>
      <c r="C696" t="s">
        <v>26</v>
      </c>
      <c r="D696" t="s">
        <v>971</v>
      </c>
      <c r="E696" t="s">
        <v>668</v>
      </c>
      <c r="F696" t="s">
        <v>1486</v>
      </c>
      <c r="G696" s="2" t="s">
        <v>1487</v>
      </c>
      <c r="H696" t="s">
        <v>18</v>
      </c>
      <c r="I696" t="s">
        <v>242</v>
      </c>
      <c r="J696" t="s">
        <v>243</v>
      </c>
      <c r="K696" t="s">
        <v>930</v>
      </c>
      <c r="L696" t="s">
        <v>930</v>
      </c>
      <c r="M696" t="s">
        <v>244</v>
      </c>
      <c r="N696" t="s">
        <v>46</v>
      </c>
      <c r="O696" t="s">
        <v>63</v>
      </c>
      <c r="P696" t="s">
        <v>34</v>
      </c>
      <c r="Q696">
        <v>1</v>
      </c>
      <c r="R696">
        <v>0</v>
      </c>
      <c r="S696" s="2" t="str">
        <f>IFERROR(VLOOKUP(C696,Sheet2!B:E,4,0),C696)</f>
        <v>一般产品</v>
      </c>
    </row>
    <row r="697" spans="1:19" x14ac:dyDescent="0.2">
      <c r="A697" t="s">
        <v>2821</v>
      </c>
      <c r="B697">
        <v>3000</v>
      </c>
      <c r="C697" t="s">
        <v>26</v>
      </c>
      <c r="D697" t="s">
        <v>50</v>
      </c>
      <c r="E697" t="s">
        <v>365</v>
      </c>
      <c r="F697" t="s">
        <v>1459</v>
      </c>
      <c r="G697" s="2" t="s">
        <v>1460</v>
      </c>
      <c r="H697" t="s">
        <v>28</v>
      </c>
      <c r="I697" t="s">
        <v>97</v>
      </c>
      <c r="J697" t="s">
        <v>98</v>
      </c>
      <c r="K697" t="s">
        <v>930</v>
      </c>
      <c r="L697" t="s">
        <v>930</v>
      </c>
      <c r="M697" t="s">
        <v>99</v>
      </c>
      <c r="N697" t="s">
        <v>55</v>
      </c>
      <c r="O697" t="s">
        <v>33</v>
      </c>
      <c r="P697" t="s">
        <v>34</v>
      </c>
      <c r="Q697">
        <v>1</v>
      </c>
      <c r="R697">
        <v>0</v>
      </c>
      <c r="S697" s="2" t="str">
        <f>IFERROR(VLOOKUP(C697,Sheet2!B:E,4,0),C697)</f>
        <v>一般产品</v>
      </c>
    </row>
    <row r="698" spans="1:19" x14ac:dyDescent="0.2">
      <c r="A698" t="s">
        <v>2822</v>
      </c>
      <c r="B698">
        <v>3300</v>
      </c>
      <c r="C698" t="s">
        <v>26</v>
      </c>
      <c r="D698" t="s">
        <v>50</v>
      </c>
      <c r="E698" t="s">
        <v>991</v>
      </c>
      <c r="F698" t="s">
        <v>1061</v>
      </c>
      <c r="G698" s="2" t="s">
        <v>1062</v>
      </c>
      <c r="H698" t="s">
        <v>18</v>
      </c>
      <c r="I698" t="s">
        <v>97</v>
      </c>
      <c r="J698" t="s">
        <v>98</v>
      </c>
      <c r="K698" t="s">
        <v>930</v>
      </c>
      <c r="L698" t="s">
        <v>930</v>
      </c>
      <c r="M698" t="s">
        <v>99</v>
      </c>
      <c r="N698" t="s">
        <v>55</v>
      </c>
      <c r="O698" t="s">
        <v>33</v>
      </c>
      <c r="P698" t="s">
        <v>34</v>
      </c>
      <c r="Q698">
        <v>1</v>
      </c>
      <c r="R698">
        <v>0</v>
      </c>
      <c r="S698" s="2" t="str">
        <f>IFERROR(VLOOKUP(C698,Sheet2!B:E,4,0),C698)</f>
        <v>一般产品</v>
      </c>
    </row>
    <row r="699" spans="1:19" x14ac:dyDescent="0.2">
      <c r="A699" t="s">
        <v>2823</v>
      </c>
      <c r="B699">
        <v>3980</v>
      </c>
      <c r="C699" t="s">
        <v>575</v>
      </c>
      <c r="D699" t="s">
        <v>971</v>
      </c>
      <c r="E699" t="s">
        <v>150</v>
      </c>
      <c r="F699" t="s">
        <v>319</v>
      </c>
      <c r="G699" s="2" t="s">
        <v>320</v>
      </c>
      <c r="H699" t="s">
        <v>18</v>
      </c>
      <c r="I699" t="s">
        <v>151</v>
      </c>
      <c r="J699" t="s">
        <v>152</v>
      </c>
      <c r="K699" t="s">
        <v>930</v>
      </c>
      <c r="L699" t="s">
        <v>930</v>
      </c>
      <c r="M699" t="s">
        <v>153</v>
      </c>
      <c r="N699" t="s">
        <v>61</v>
      </c>
      <c r="O699" t="s">
        <v>129</v>
      </c>
      <c r="P699" t="s">
        <v>25</v>
      </c>
      <c r="Q699">
        <v>1</v>
      </c>
      <c r="R699">
        <v>0</v>
      </c>
      <c r="S699" s="2" t="str">
        <f>IFERROR(VLOOKUP(C699,Sheet2!B:E,4,0),C699)</f>
        <v>优惠产品</v>
      </c>
    </row>
    <row r="700" spans="1:19" x14ac:dyDescent="0.2">
      <c r="A700" t="s">
        <v>2824</v>
      </c>
      <c r="B700">
        <v>3000</v>
      </c>
      <c r="C700" t="s">
        <v>26</v>
      </c>
      <c r="D700" t="s">
        <v>50</v>
      </c>
      <c r="E700" t="s">
        <v>1024</v>
      </c>
      <c r="F700" t="s">
        <v>1258</v>
      </c>
      <c r="G700" s="2" t="s">
        <v>1259</v>
      </c>
      <c r="H700" t="s">
        <v>28</v>
      </c>
      <c r="I700" t="s">
        <v>56</v>
      </c>
      <c r="J700" t="s">
        <v>57</v>
      </c>
      <c r="K700" t="s">
        <v>930</v>
      </c>
      <c r="L700" t="s">
        <v>930</v>
      </c>
      <c r="M700" t="s">
        <v>58</v>
      </c>
      <c r="N700" t="s">
        <v>108</v>
      </c>
      <c r="O700" t="s">
        <v>33</v>
      </c>
      <c r="P700" t="s">
        <v>34</v>
      </c>
      <c r="Q700">
        <v>1</v>
      </c>
      <c r="R700">
        <v>0</v>
      </c>
      <c r="S700" s="2" t="str">
        <f>IFERROR(VLOOKUP(C700,Sheet2!B:E,4,0),C700)</f>
        <v>一般产品</v>
      </c>
    </row>
    <row r="701" spans="1:19" x14ac:dyDescent="0.2">
      <c r="A701" t="s">
        <v>2825</v>
      </c>
      <c r="B701">
        <v>3000</v>
      </c>
      <c r="C701" t="s">
        <v>26</v>
      </c>
      <c r="D701" t="s">
        <v>50</v>
      </c>
      <c r="E701" t="s">
        <v>1128</v>
      </c>
      <c r="F701" t="s">
        <v>1835</v>
      </c>
      <c r="G701" s="2" t="s">
        <v>1836</v>
      </c>
      <c r="H701" t="s">
        <v>18</v>
      </c>
      <c r="I701" t="s">
        <v>473</v>
      </c>
      <c r="J701" t="s">
        <v>474</v>
      </c>
      <c r="K701" t="s">
        <v>930</v>
      </c>
      <c r="L701" t="s">
        <v>930</v>
      </c>
      <c r="M701" t="s">
        <v>475</v>
      </c>
      <c r="N701" t="s">
        <v>47</v>
      </c>
      <c r="O701" t="s">
        <v>33</v>
      </c>
      <c r="P701" t="s">
        <v>34</v>
      </c>
      <c r="Q701">
        <v>1</v>
      </c>
      <c r="R701">
        <v>0</v>
      </c>
      <c r="S701" s="2" t="str">
        <f>IFERROR(VLOOKUP(C701,Sheet2!B:E,4,0),C701)</f>
        <v>一般产品</v>
      </c>
    </row>
    <row r="702" spans="1:19" x14ac:dyDescent="0.2">
      <c r="A702" t="s">
        <v>2826</v>
      </c>
      <c r="B702">
        <v>2999</v>
      </c>
      <c r="C702" t="s">
        <v>26</v>
      </c>
      <c r="D702" t="s">
        <v>2257</v>
      </c>
      <c r="E702" t="s">
        <v>2827</v>
      </c>
      <c r="F702" t="s">
        <v>2550</v>
      </c>
      <c r="G702" s="2" t="s">
        <v>2551</v>
      </c>
      <c r="H702" t="s">
        <v>18</v>
      </c>
      <c r="I702" t="s">
        <v>301</v>
      </c>
      <c r="J702" t="s">
        <v>302</v>
      </c>
      <c r="K702" t="s">
        <v>930</v>
      </c>
      <c r="L702" t="s">
        <v>930</v>
      </c>
      <c r="M702" t="s">
        <v>303</v>
      </c>
      <c r="N702" t="s">
        <v>194</v>
      </c>
      <c r="O702" t="s">
        <v>24</v>
      </c>
      <c r="P702" t="s">
        <v>25</v>
      </c>
      <c r="Q702">
        <v>1</v>
      </c>
      <c r="R702">
        <v>0</v>
      </c>
      <c r="S702" s="2" t="str">
        <f>IFERROR(VLOOKUP(C702,Sheet2!B:E,4,0),C702)</f>
        <v>一般产品</v>
      </c>
    </row>
    <row r="703" spans="1:19" x14ac:dyDescent="0.2">
      <c r="A703" t="s">
        <v>2828</v>
      </c>
      <c r="B703">
        <v>3999</v>
      </c>
      <c r="C703" t="s">
        <v>26</v>
      </c>
      <c r="D703" t="s">
        <v>972</v>
      </c>
      <c r="E703" t="s">
        <v>1058</v>
      </c>
      <c r="F703" t="s">
        <v>2829</v>
      </c>
      <c r="G703" s="2" t="s">
        <v>2830</v>
      </c>
      <c r="H703" t="s">
        <v>18</v>
      </c>
      <c r="I703" t="s">
        <v>340</v>
      </c>
      <c r="J703" t="s">
        <v>341</v>
      </c>
      <c r="K703" t="s">
        <v>930</v>
      </c>
      <c r="L703" t="s">
        <v>930</v>
      </c>
      <c r="M703" t="s">
        <v>342</v>
      </c>
      <c r="N703" t="s">
        <v>44</v>
      </c>
      <c r="O703" t="s">
        <v>24</v>
      </c>
      <c r="P703" t="s">
        <v>25</v>
      </c>
      <c r="Q703">
        <v>1</v>
      </c>
      <c r="R703">
        <v>0</v>
      </c>
      <c r="S703" s="2" t="str">
        <f>IFERROR(VLOOKUP(C703,Sheet2!B:E,4,0),C703)</f>
        <v>一般产品</v>
      </c>
    </row>
    <row r="704" spans="1:19" x14ac:dyDescent="0.2">
      <c r="A704" t="s">
        <v>2831</v>
      </c>
      <c r="B704">
        <v>2199</v>
      </c>
      <c r="C704" t="s">
        <v>26</v>
      </c>
      <c r="D704" t="s">
        <v>2257</v>
      </c>
      <c r="E704" t="s">
        <v>2832</v>
      </c>
      <c r="F704" t="s">
        <v>2833</v>
      </c>
      <c r="G704" s="2" t="s">
        <v>2834</v>
      </c>
      <c r="H704" t="s">
        <v>18</v>
      </c>
      <c r="I704" t="s">
        <v>340</v>
      </c>
      <c r="J704" t="s">
        <v>341</v>
      </c>
      <c r="K704" t="s">
        <v>930</v>
      </c>
      <c r="L704" t="s">
        <v>930</v>
      </c>
      <c r="M704" t="s">
        <v>342</v>
      </c>
      <c r="N704" t="s">
        <v>44</v>
      </c>
      <c r="O704" t="s">
        <v>24</v>
      </c>
      <c r="P704" t="s">
        <v>25</v>
      </c>
      <c r="Q704">
        <v>1</v>
      </c>
      <c r="R704">
        <v>0</v>
      </c>
      <c r="S704" s="2" t="str">
        <f>IFERROR(VLOOKUP(C704,Sheet2!B:E,4,0),C704)</f>
        <v>一般产品</v>
      </c>
    </row>
    <row r="705" spans="1:19" x14ac:dyDescent="0.2">
      <c r="A705" t="s">
        <v>2835</v>
      </c>
      <c r="B705">
        <v>2800</v>
      </c>
      <c r="C705" t="s">
        <v>26</v>
      </c>
      <c r="D705" t="s">
        <v>50</v>
      </c>
      <c r="E705" t="s">
        <v>2836</v>
      </c>
      <c r="F705" t="s">
        <v>314</v>
      </c>
      <c r="G705" s="2" t="s">
        <v>315</v>
      </c>
      <c r="H705" t="s">
        <v>18</v>
      </c>
      <c r="I705" t="s">
        <v>930</v>
      </c>
      <c r="J705" t="s">
        <v>930</v>
      </c>
      <c r="K705" t="s">
        <v>106</v>
      </c>
      <c r="L705" t="s">
        <v>930</v>
      </c>
      <c r="M705" t="s">
        <v>1456</v>
      </c>
      <c r="N705" t="s">
        <v>108</v>
      </c>
      <c r="O705" t="s">
        <v>33</v>
      </c>
      <c r="P705" t="s">
        <v>34</v>
      </c>
      <c r="Q705">
        <v>1</v>
      </c>
      <c r="R705">
        <v>0</v>
      </c>
      <c r="S705" s="2" t="str">
        <f>IFERROR(VLOOKUP(C705,Sheet2!B:E,4,0),C705)</f>
        <v>一般产品</v>
      </c>
    </row>
    <row r="706" spans="1:19" x14ac:dyDescent="0.2">
      <c r="A706" t="s">
        <v>2837</v>
      </c>
      <c r="B706">
        <v>1800</v>
      </c>
      <c r="C706" t="s">
        <v>26</v>
      </c>
      <c r="D706" t="s">
        <v>2257</v>
      </c>
      <c r="E706" t="s">
        <v>2281</v>
      </c>
      <c r="F706" t="s">
        <v>2727</v>
      </c>
      <c r="G706" s="2" t="s">
        <v>2728</v>
      </c>
      <c r="H706" t="s">
        <v>18</v>
      </c>
      <c r="I706" t="s">
        <v>473</v>
      </c>
      <c r="J706" t="s">
        <v>474</v>
      </c>
      <c r="K706" t="s">
        <v>930</v>
      </c>
      <c r="L706" t="s">
        <v>930</v>
      </c>
      <c r="M706" t="s">
        <v>475</v>
      </c>
      <c r="N706" t="s">
        <v>47</v>
      </c>
      <c r="O706" t="s">
        <v>33</v>
      </c>
      <c r="P706" t="s">
        <v>34</v>
      </c>
      <c r="Q706">
        <v>1</v>
      </c>
      <c r="R706">
        <v>0</v>
      </c>
      <c r="S706" s="2" t="str">
        <f>IFERROR(VLOOKUP(C706,Sheet2!B:E,4,0),C706)</f>
        <v>一般产品</v>
      </c>
    </row>
    <row r="707" spans="1:19" x14ac:dyDescent="0.2">
      <c r="A707" t="s">
        <v>2838</v>
      </c>
      <c r="B707">
        <v>1600</v>
      </c>
      <c r="C707" t="s">
        <v>26</v>
      </c>
      <c r="D707" t="s">
        <v>2257</v>
      </c>
      <c r="E707" t="s">
        <v>973</v>
      </c>
      <c r="F707" t="s">
        <v>696</v>
      </c>
      <c r="G707" s="2" t="s">
        <v>697</v>
      </c>
      <c r="H707" t="s">
        <v>18</v>
      </c>
      <c r="I707" t="s">
        <v>221</v>
      </c>
      <c r="J707" t="s">
        <v>222</v>
      </c>
      <c r="K707" t="s">
        <v>930</v>
      </c>
      <c r="L707" t="s">
        <v>930</v>
      </c>
      <c r="M707" t="s">
        <v>223</v>
      </c>
      <c r="N707" t="s">
        <v>55</v>
      </c>
      <c r="O707" t="s">
        <v>33</v>
      </c>
      <c r="P707" t="s">
        <v>34</v>
      </c>
      <c r="Q707">
        <v>1</v>
      </c>
      <c r="R707">
        <v>0</v>
      </c>
      <c r="S707" s="2" t="str">
        <f>IFERROR(VLOOKUP(C707,Sheet2!B:E,4,0),C707)</f>
        <v>一般产品</v>
      </c>
    </row>
    <row r="708" spans="1:19" x14ac:dyDescent="0.2">
      <c r="A708" t="s">
        <v>2839</v>
      </c>
      <c r="B708">
        <v>4000</v>
      </c>
      <c r="C708" t="s">
        <v>26</v>
      </c>
      <c r="D708" t="s">
        <v>2257</v>
      </c>
      <c r="E708" t="s">
        <v>354</v>
      </c>
      <c r="F708" t="s">
        <v>583</v>
      </c>
      <c r="G708" s="2" t="s">
        <v>584</v>
      </c>
      <c r="H708" t="s">
        <v>18</v>
      </c>
      <c r="I708" t="s">
        <v>81</v>
      </c>
      <c r="J708" t="s">
        <v>1230</v>
      </c>
      <c r="K708" t="s">
        <v>930</v>
      </c>
      <c r="L708" t="s">
        <v>930</v>
      </c>
      <c r="M708" t="s">
        <v>1231</v>
      </c>
      <c r="N708" t="s">
        <v>68</v>
      </c>
      <c r="O708" t="s">
        <v>33</v>
      </c>
      <c r="P708" t="s">
        <v>34</v>
      </c>
      <c r="Q708">
        <v>1</v>
      </c>
      <c r="R708">
        <v>0</v>
      </c>
      <c r="S708" s="2" t="str">
        <f>IFERROR(VLOOKUP(C708,Sheet2!B:E,4,0),C708)</f>
        <v>一般产品</v>
      </c>
    </row>
    <row r="709" spans="1:19" x14ac:dyDescent="0.2">
      <c r="A709" t="s">
        <v>2840</v>
      </c>
      <c r="B709">
        <v>2998</v>
      </c>
      <c r="C709" t="s">
        <v>589</v>
      </c>
      <c r="D709" t="s">
        <v>726</v>
      </c>
      <c r="E709" t="s">
        <v>2841</v>
      </c>
      <c r="F709" t="s">
        <v>2842</v>
      </c>
      <c r="G709" s="2" t="s">
        <v>2843</v>
      </c>
      <c r="H709" t="s">
        <v>28</v>
      </c>
      <c r="I709" t="s">
        <v>242</v>
      </c>
      <c r="J709" t="s">
        <v>243</v>
      </c>
      <c r="K709" t="s">
        <v>930</v>
      </c>
      <c r="L709" t="s">
        <v>930</v>
      </c>
      <c r="M709" t="s">
        <v>244</v>
      </c>
      <c r="N709" t="s">
        <v>46</v>
      </c>
      <c r="O709" t="s">
        <v>63</v>
      </c>
      <c r="P709" t="s">
        <v>34</v>
      </c>
      <c r="Q709">
        <v>1</v>
      </c>
      <c r="R709">
        <v>0</v>
      </c>
      <c r="S709" s="2" t="str">
        <f>IFERROR(VLOOKUP(C709,Sheet2!B:E,4,0),C709)</f>
        <v>优惠产品</v>
      </c>
    </row>
    <row r="710" spans="1:19" x14ac:dyDescent="0.2">
      <c r="A710" t="s">
        <v>2844</v>
      </c>
      <c r="B710">
        <v>2798</v>
      </c>
      <c r="C710" t="s">
        <v>580</v>
      </c>
      <c r="D710" t="s">
        <v>50</v>
      </c>
      <c r="E710" t="s">
        <v>1114</v>
      </c>
      <c r="F710" t="s">
        <v>1193</v>
      </c>
      <c r="G710" s="2" t="s">
        <v>1194</v>
      </c>
      <c r="H710" t="s">
        <v>18</v>
      </c>
      <c r="I710" t="s">
        <v>930</v>
      </c>
      <c r="J710" t="s">
        <v>930</v>
      </c>
      <c r="K710" t="s">
        <v>414</v>
      </c>
      <c r="L710" t="s">
        <v>930</v>
      </c>
      <c r="M710" t="s">
        <v>415</v>
      </c>
      <c r="N710" t="s">
        <v>114</v>
      </c>
      <c r="O710" t="s">
        <v>24</v>
      </c>
      <c r="P710" t="s">
        <v>25</v>
      </c>
      <c r="Q710">
        <v>1</v>
      </c>
      <c r="R710">
        <v>0</v>
      </c>
      <c r="S710" s="2" t="str">
        <f>IFERROR(VLOOKUP(C710,Sheet2!B:E,4,0),C710)</f>
        <v>10期贷</v>
      </c>
    </row>
    <row r="711" spans="1:19" x14ac:dyDescent="0.2">
      <c r="A711" t="s">
        <v>2845</v>
      </c>
      <c r="B711">
        <v>2500</v>
      </c>
      <c r="C711" t="s">
        <v>26</v>
      </c>
      <c r="D711" t="s">
        <v>50</v>
      </c>
      <c r="E711" t="s">
        <v>486</v>
      </c>
      <c r="F711" t="s">
        <v>2742</v>
      </c>
      <c r="G711" s="2" t="s">
        <v>2743</v>
      </c>
      <c r="H711" t="s">
        <v>18</v>
      </c>
      <c r="I711" t="s">
        <v>118</v>
      </c>
      <c r="J711" t="s">
        <v>119</v>
      </c>
      <c r="K711" t="s">
        <v>930</v>
      </c>
      <c r="L711" t="s">
        <v>930</v>
      </c>
      <c r="M711" t="s">
        <v>120</v>
      </c>
      <c r="N711" t="s">
        <v>85</v>
      </c>
      <c r="O711" t="s">
        <v>33</v>
      </c>
      <c r="P711" t="s">
        <v>34</v>
      </c>
      <c r="Q711">
        <v>1</v>
      </c>
      <c r="R711">
        <v>0</v>
      </c>
      <c r="S711" s="2" t="str">
        <f>IFERROR(VLOOKUP(C711,Sheet2!B:E,4,0),C711)</f>
        <v>一般产品</v>
      </c>
    </row>
    <row r="712" spans="1:19" x14ac:dyDescent="0.2">
      <c r="A712" t="s">
        <v>2846</v>
      </c>
      <c r="B712">
        <v>2298</v>
      </c>
      <c r="C712" t="s">
        <v>26</v>
      </c>
      <c r="D712" t="s">
        <v>2257</v>
      </c>
      <c r="E712" t="s">
        <v>2258</v>
      </c>
      <c r="F712" t="s">
        <v>272</v>
      </c>
      <c r="G712" s="2" t="s">
        <v>273</v>
      </c>
      <c r="H712" t="s">
        <v>18</v>
      </c>
      <c r="I712" t="s">
        <v>930</v>
      </c>
      <c r="J712" t="s">
        <v>930</v>
      </c>
      <c r="K712" t="s">
        <v>274</v>
      </c>
      <c r="L712" t="s">
        <v>930</v>
      </c>
      <c r="M712" t="s">
        <v>275</v>
      </c>
      <c r="N712" t="s">
        <v>60</v>
      </c>
      <c r="O712" t="s">
        <v>72</v>
      </c>
      <c r="P712" t="s">
        <v>34</v>
      </c>
      <c r="Q712">
        <v>1</v>
      </c>
      <c r="R712">
        <v>0</v>
      </c>
      <c r="S712" s="2" t="str">
        <f>IFERROR(VLOOKUP(C712,Sheet2!B:E,4,0),C712)</f>
        <v>一般产品</v>
      </c>
    </row>
    <row r="713" spans="1:19" x14ac:dyDescent="0.2">
      <c r="A713" t="s">
        <v>2847</v>
      </c>
      <c r="B713">
        <v>3980</v>
      </c>
      <c r="C713" t="s">
        <v>575</v>
      </c>
      <c r="D713" t="s">
        <v>971</v>
      </c>
      <c r="E713" t="s">
        <v>557</v>
      </c>
      <c r="F713" t="s">
        <v>2327</v>
      </c>
      <c r="G713" s="2" t="s">
        <v>2328</v>
      </c>
      <c r="H713" t="s">
        <v>28</v>
      </c>
      <c r="I713" t="s">
        <v>151</v>
      </c>
      <c r="J713" t="s">
        <v>152</v>
      </c>
      <c r="K713" t="s">
        <v>930</v>
      </c>
      <c r="L713" t="s">
        <v>930</v>
      </c>
      <c r="M713" t="s">
        <v>153</v>
      </c>
      <c r="N713" t="s">
        <v>61</v>
      </c>
      <c r="O713" t="s">
        <v>129</v>
      </c>
      <c r="P713" t="s">
        <v>25</v>
      </c>
      <c r="Q713">
        <v>1</v>
      </c>
      <c r="R713">
        <v>0</v>
      </c>
      <c r="S713" s="2" t="str">
        <f>IFERROR(VLOOKUP(C713,Sheet2!B:E,4,0),C713)</f>
        <v>优惠产品</v>
      </c>
    </row>
    <row r="714" spans="1:19" x14ac:dyDescent="0.2">
      <c r="A714" t="s">
        <v>2848</v>
      </c>
      <c r="B714">
        <v>2900</v>
      </c>
      <c r="C714" t="s">
        <v>26</v>
      </c>
      <c r="D714" t="s">
        <v>50</v>
      </c>
      <c r="E714" t="s">
        <v>2849</v>
      </c>
      <c r="F714" t="s">
        <v>1514</v>
      </c>
      <c r="G714" s="2" t="s">
        <v>1515</v>
      </c>
      <c r="H714" t="s">
        <v>28</v>
      </c>
      <c r="I714" t="s">
        <v>107</v>
      </c>
      <c r="J714" t="s">
        <v>1046</v>
      </c>
      <c r="K714" t="s">
        <v>930</v>
      </c>
      <c r="L714" t="s">
        <v>930</v>
      </c>
      <c r="M714" t="s">
        <v>1047</v>
      </c>
      <c r="N714" t="s">
        <v>108</v>
      </c>
      <c r="O714" t="s">
        <v>33</v>
      </c>
      <c r="P714" t="s">
        <v>34</v>
      </c>
      <c r="Q714">
        <v>1</v>
      </c>
      <c r="R714">
        <v>0</v>
      </c>
      <c r="S714" s="2" t="str">
        <f>IFERROR(VLOOKUP(C714,Sheet2!B:E,4,0),C714)</f>
        <v>一般产品</v>
      </c>
    </row>
    <row r="715" spans="1:19" x14ac:dyDescent="0.2">
      <c r="A715" t="s">
        <v>2850</v>
      </c>
      <c r="B715">
        <v>2800</v>
      </c>
      <c r="C715" t="s">
        <v>589</v>
      </c>
      <c r="D715" t="s">
        <v>50</v>
      </c>
      <c r="E715" t="s">
        <v>2851</v>
      </c>
      <c r="F715" t="s">
        <v>2852</v>
      </c>
      <c r="G715" s="2" t="s">
        <v>2853</v>
      </c>
      <c r="H715" t="s">
        <v>18</v>
      </c>
      <c r="I715" t="s">
        <v>237</v>
      </c>
      <c r="J715" t="s">
        <v>238</v>
      </c>
      <c r="K715" t="s">
        <v>930</v>
      </c>
      <c r="L715" t="s">
        <v>930</v>
      </c>
      <c r="M715" t="s">
        <v>239</v>
      </c>
      <c r="N715" t="s">
        <v>85</v>
      </c>
      <c r="O715" t="s">
        <v>33</v>
      </c>
      <c r="P715" t="s">
        <v>34</v>
      </c>
      <c r="Q715">
        <v>1</v>
      </c>
      <c r="R715">
        <v>0</v>
      </c>
      <c r="S715" s="2" t="str">
        <f>IFERROR(VLOOKUP(C715,Sheet2!B:E,4,0),C715)</f>
        <v>优惠产品</v>
      </c>
    </row>
    <row r="716" spans="1:19" x14ac:dyDescent="0.2">
      <c r="A716" t="s">
        <v>2854</v>
      </c>
      <c r="B716">
        <v>3000</v>
      </c>
      <c r="C716" t="s">
        <v>26</v>
      </c>
      <c r="D716" t="s">
        <v>50</v>
      </c>
      <c r="E716" t="s">
        <v>2855</v>
      </c>
      <c r="F716" t="s">
        <v>791</v>
      </c>
      <c r="G716" s="2" t="s">
        <v>543</v>
      </c>
      <c r="H716" t="s">
        <v>18</v>
      </c>
      <c r="I716" t="s">
        <v>159</v>
      </c>
      <c r="J716" t="s">
        <v>160</v>
      </c>
      <c r="K716" t="s">
        <v>930</v>
      </c>
      <c r="L716" t="s">
        <v>930</v>
      </c>
      <c r="M716" t="s">
        <v>161</v>
      </c>
      <c r="N716" t="s">
        <v>55</v>
      </c>
      <c r="O716" t="s">
        <v>33</v>
      </c>
      <c r="P716" t="s">
        <v>34</v>
      </c>
      <c r="Q716">
        <v>1</v>
      </c>
      <c r="R716">
        <v>0</v>
      </c>
      <c r="S716" s="2" t="str">
        <f>IFERROR(VLOOKUP(C716,Sheet2!B:E,4,0),C716)</f>
        <v>一般产品</v>
      </c>
    </row>
    <row r="717" spans="1:19" x14ac:dyDescent="0.2">
      <c r="A717" t="s">
        <v>2856</v>
      </c>
      <c r="B717">
        <v>3108</v>
      </c>
      <c r="C717" t="s">
        <v>26</v>
      </c>
      <c r="D717" t="s">
        <v>50</v>
      </c>
      <c r="E717" t="s">
        <v>2857</v>
      </c>
      <c r="F717" t="s">
        <v>791</v>
      </c>
      <c r="G717" s="2" t="s">
        <v>543</v>
      </c>
      <c r="H717" t="s">
        <v>18</v>
      </c>
      <c r="I717" t="s">
        <v>159</v>
      </c>
      <c r="J717" t="s">
        <v>160</v>
      </c>
      <c r="K717" t="s">
        <v>930</v>
      </c>
      <c r="L717" t="s">
        <v>930</v>
      </c>
      <c r="M717" t="s">
        <v>161</v>
      </c>
      <c r="N717" t="s">
        <v>55</v>
      </c>
      <c r="O717" t="s">
        <v>33</v>
      </c>
      <c r="P717" t="s">
        <v>34</v>
      </c>
      <c r="Q717">
        <v>1</v>
      </c>
      <c r="R717">
        <v>0</v>
      </c>
      <c r="S717" s="2" t="str">
        <f>IFERROR(VLOOKUP(C717,Sheet2!B:E,4,0),C717)</f>
        <v>一般产品</v>
      </c>
    </row>
    <row r="718" spans="1:19" x14ac:dyDescent="0.2">
      <c r="A718" t="s">
        <v>2858</v>
      </c>
      <c r="B718">
        <v>2299</v>
      </c>
      <c r="C718" t="s">
        <v>589</v>
      </c>
      <c r="D718" t="s">
        <v>971</v>
      </c>
      <c r="E718" t="s">
        <v>2859</v>
      </c>
      <c r="F718" t="s">
        <v>2312</v>
      </c>
      <c r="G718" s="2" t="s">
        <v>2313</v>
      </c>
      <c r="H718" t="s">
        <v>18</v>
      </c>
      <c r="I718" t="s">
        <v>191</v>
      </c>
      <c r="J718" t="s">
        <v>192</v>
      </c>
      <c r="K718" t="s">
        <v>930</v>
      </c>
      <c r="L718" t="s">
        <v>930</v>
      </c>
      <c r="M718" t="s">
        <v>193</v>
      </c>
      <c r="N718" t="s">
        <v>194</v>
      </c>
      <c r="O718" t="s">
        <v>24</v>
      </c>
      <c r="P718" t="s">
        <v>25</v>
      </c>
      <c r="Q718">
        <v>1</v>
      </c>
      <c r="R718">
        <v>0</v>
      </c>
      <c r="S718" s="2" t="str">
        <f>IFERROR(VLOOKUP(C718,Sheet2!B:E,4,0),C718)</f>
        <v>优惠产品</v>
      </c>
    </row>
    <row r="719" spans="1:19" x14ac:dyDescent="0.2">
      <c r="A719" t="s">
        <v>2860</v>
      </c>
      <c r="B719">
        <v>1600</v>
      </c>
      <c r="C719" t="s">
        <v>26</v>
      </c>
      <c r="D719" t="s">
        <v>50</v>
      </c>
      <c r="E719" t="s">
        <v>2861</v>
      </c>
      <c r="F719" t="s">
        <v>1846</v>
      </c>
      <c r="G719" s="2" t="s">
        <v>1847</v>
      </c>
      <c r="H719" t="s">
        <v>18</v>
      </c>
      <c r="I719" t="s">
        <v>930</v>
      </c>
      <c r="J719" t="s">
        <v>930</v>
      </c>
      <c r="K719" t="s">
        <v>235</v>
      </c>
      <c r="L719" t="s">
        <v>930</v>
      </c>
      <c r="M719" t="s">
        <v>236</v>
      </c>
      <c r="N719" t="s">
        <v>55</v>
      </c>
      <c r="O719" t="s">
        <v>33</v>
      </c>
      <c r="P719" t="s">
        <v>34</v>
      </c>
      <c r="Q719">
        <v>1</v>
      </c>
      <c r="R719">
        <v>0</v>
      </c>
      <c r="S719" s="2" t="str">
        <f>IFERROR(VLOOKUP(C719,Sheet2!B:E,4,0),C719)</f>
        <v>一般产品</v>
      </c>
    </row>
    <row r="720" spans="1:19" x14ac:dyDescent="0.2">
      <c r="A720" t="s">
        <v>2862</v>
      </c>
      <c r="B720">
        <v>2200</v>
      </c>
      <c r="C720" t="s">
        <v>26</v>
      </c>
      <c r="D720" t="s">
        <v>50</v>
      </c>
      <c r="E720" t="s">
        <v>210</v>
      </c>
      <c r="F720" t="s">
        <v>1275</v>
      </c>
      <c r="G720" s="2" t="s">
        <v>1276</v>
      </c>
      <c r="H720" t="s">
        <v>18</v>
      </c>
      <c r="I720" t="s">
        <v>88</v>
      </c>
      <c r="J720" t="s">
        <v>89</v>
      </c>
      <c r="K720" t="s">
        <v>930</v>
      </c>
      <c r="L720" t="s">
        <v>930</v>
      </c>
      <c r="M720" t="s">
        <v>933</v>
      </c>
      <c r="N720" t="s">
        <v>32</v>
      </c>
      <c r="O720" t="s">
        <v>33</v>
      </c>
      <c r="P720" t="s">
        <v>34</v>
      </c>
      <c r="Q720">
        <v>1</v>
      </c>
      <c r="R720">
        <v>0</v>
      </c>
      <c r="S720" s="2" t="str">
        <f>IFERROR(VLOOKUP(C720,Sheet2!B:E,4,0),C720)</f>
        <v>一般产品</v>
      </c>
    </row>
    <row r="721" spans="1:19" x14ac:dyDescent="0.2">
      <c r="A721" t="s">
        <v>2863</v>
      </c>
      <c r="B721">
        <v>4996</v>
      </c>
      <c r="C721" t="s">
        <v>26</v>
      </c>
      <c r="D721" t="s">
        <v>2257</v>
      </c>
      <c r="E721" t="s">
        <v>2864</v>
      </c>
      <c r="F721" t="s">
        <v>1970</v>
      </c>
      <c r="G721" s="2" t="s">
        <v>1971</v>
      </c>
      <c r="H721" t="s">
        <v>28</v>
      </c>
      <c r="I721" t="s">
        <v>91</v>
      </c>
      <c r="J721" t="s">
        <v>92</v>
      </c>
      <c r="K721" t="s">
        <v>930</v>
      </c>
      <c r="L721" t="s">
        <v>930</v>
      </c>
      <c r="M721" t="s">
        <v>93</v>
      </c>
      <c r="N721" t="s">
        <v>94</v>
      </c>
      <c r="O721" t="s">
        <v>95</v>
      </c>
      <c r="P721" t="s">
        <v>90</v>
      </c>
      <c r="Q721">
        <v>1</v>
      </c>
      <c r="R721">
        <v>0</v>
      </c>
      <c r="S721" s="2" t="str">
        <f>IFERROR(VLOOKUP(C721,Sheet2!B:E,4,0),C721)</f>
        <v>一般产品</v>
      </c>
    </row>
    <row r="722" spans="1:19" x14ac:dyDescent="0.2">
      <c r="A722" t="s">
        <v>2865</v>
      </c>
      <c r="B722">
        <v>2798</v>
      </c>
      <c r="C722" t="s">
        <v>26</v>
      </c>
      <c r="D722" t="s">
        <v>50</v>
      </c>
      <c r="E722" t="s">
        <v>1160</v>
      </c>
      <c r="F722" t="s">
        <v>2866</v>
      </c>
      <c r="G722" s="2" t="s">
        <v>2867</v>
      </c>
      <c r="H722" t="s">
        <v>18</v>
      </c>
      <c r="I722" t="s">
        <v>125</v>
      </c>
      <c r="J722" t="s">
        <v>126</v>
      </c>
      <c r="K722" t="s">
        <v>930</v>
      </c>
      <c r="L722" t="s">
        <v>930</v>
      </c>
      <c r="M722" t="s">
        <v>127</v>
      </c>
      <c r="N722" t="s">
        <v>32</v>
      </c>
      <c r="O722" t="s">
        <v>33</v>
      </c>
      <c r="P722" t="s">
        <v>34</v>
      </c>
      <c r="Q722">
        <v>1</v>
      </c>
      <c r="R722">
        <v>0</v>
      </c>
      <c r="S722" s="2" t="str">
        <f>IFERROR(VLOOKUP(C722,Sheet2!B:E,4,0),C722)</f>
        <v>一般产品</v>
      </c>
    </row>
    <row r="723" spans="1:19" x14ac:dyDescent="0.2">
      <c r="A723" t="s">
        <v>2868</v>
      </c>
      <c r="B723">
        <v>3199</v>
      </c>
      <c r="C723" t="s">
        <v>26</v>
      </c>
      <c r="D723" t="s">
        <v>50</v>
      </c>
      <c r="E723" t="s">
        <v>780</v>
      </c>
      <c r="F723" t="s">
        <v>349</v>
      </c>
      <c r="G723" s="2" t="s">
        <v>350</v>
      </c>
      <c r="H723" t="s">
        <v>18</v>
      </c>
      <c r="I723" t="s">
        <v>351</v>
      </c>
      <c r="J723" t="s">
        <v>352</v>
      </c>
      <c r="K723" t="s">
        <v>930</v>
      </c>
      <c r="L723" t="s">
        <v>930</v>
      </c>
      <c r="M723" t="s">
        <v>353</v>
      </c>
      <c r="N723" t="s">
        <v>146</v>
      </c>
      <c r="O723" t="s">
        <v>33</v>
      </c>
      <c r="P723" t="s">
        <v>34</v>
      </c>
      <c r="Q723">
        <v>1</v>
      </c>
      <c r="R723">
        <v>0</v>
      </c>
      <c r="S723" s="2" t="str">
        <f>IFERROR(VLOOKUP(C723,Sheet2!B:E,4,0),C723)</f>
        <v>一般产品</v>
      </c>
    </row>
    <row r="724" spans="1:19" x14ac:dyDescent="0.2">
      <c r="A724" t="s">
        <v>2869</v>
      </c>
      <c r="B724">
        <v>2999</v>
      </c>
      <c r="C724" t="s">
        <v>26</v>
      </c>
      <c r="D724" t="s">
        <v>971</v>
      </c>
      <c r="E724" t="s">
        <v>2870</v>
      </c>
      <c r="F724" t="s">
        <v>2871</v>
      </c>
      <c r="G724" s="2" t="s">
        <v>2872</v>
      </c>
      <c r="H724" t="s">
        <v>18</v>
      </c>
      <c r="I724" t="s">
        <v>304</v>
      </c>
      <c r="J724" t="s">
        <v>305</v>
      </c>
      <c r="K724" t="s">
        <v>930</v>
      </c>
      <c r="L724" t="s">
        <v>930</v>
      </c>
      <c r="M724" t="s">
        <v>306</v>
      </c>
      <c r="N724" t="s">
        <v>73</v>
      </c>
      <c r="O724" t="s">
        <v>24</v>
      </c>
      <c r="P724" t="s">
        <v>25</v>
      </c>
      <c r="Q724">
        <v>1</v>
      </c>
      <c r="R724">
        <v>0</v>
      </c>
      <c r="S724" s="2" t="str">
        <f>IFERROR(VLOOKUP(C724,Sheet2!B:E,4,0),C724)</f>
        <v>一般产品</v>
      </c>
    </row>
    <row r="725" spans="1:19" x14ac:dyDescent="0.2">
      <c r="A725" t="s">
        <v>2873</v>
      </c>
      <c r="B725">
        <v>3000</v>
      </c>
      <c r="C725" t="s">
        <v>26</v>
      </c>
      <c r="D725" t="s">
        <v>726</v>
      </c>
      <c r="E725" t="s">
        <v>1350</v>
      </c>
      <c r="F725" t="s">
        <v>361</v>
      </c>
      <c r="G725" s="2" t="s">
        <v>362</v>
      </c>
      <c r="H725" t="s">
        <v>18</v>
      </c>
      <c r="I725" t="s">
        <v>260</v>
      </c>
      <c r="J725" t="s">
        <v>261</v>
      </c>
      <c r="K725" t="s">
        <v>930</v>
      </c>
      <c r="L725" t="s">
        <v>930</v>
      </c>
      <c r="M725" t="s">
        <v>262</v>
      </c>
      <c r="N725" t="s">
        <v>45</v>
      </c>
      <c r="O725" t="s">
        <v>48</v>
      </c>
      <c r="P725" t="s">
        <v>49</v>
      </c>
      <c r="Q725">
        <v>1</v>
      </c>
      <c r="R725">
        <v>0</v>
      </c>
      <c r="S725" s="2" t="str">
        <f>IFERROR(VLOOKUP(C725,Sheet2!B:E,4,0),C725)</f>
        <v>一般产品</v>
      </c>
    </row>
    <row r="726" spans="1:19" x14ac:dyDescent="0.2">
      <c r="A726" t="s">
        <v>2874</v>
      </c>
      <c r="B726">
        <v>2700</v>
      </c>
      <c r="C726" t="s">
        <v>589</v>
      </c>
      <c r="D726" t="s">
        <v>50</v>
      </c>
      <c r="E726" t="s">
        <v>1451</v>
      </c>
      <c r="F726" t="s">
        <v>1452</v>
      </c>
      <c r="G726" s="2" t="s">
        <v>1453</v>
      </c>
      <c r="H726" t="s">
        <v>18</v>
      </c>
      <c r="I726" t="s">
        <v>156</v>
      </c>
      <c r="J726" t="s">
        <v>157</v>
      </c>
      <c r="K726" t="s">
        <v>930</v>
      </c>
      <c r="L726" t="s">
        <v>930</v>
      </c>
      <c r="M726" t="s">
        <v>158</v>
      </c>
      <c r="N726" t="s">
        <v>146</v>
      </c>
      <c r="O726" t="s">
        <v>33</v>
      </c>
      <c r="P726" t="s">
        <v>34</v>
      </c>
      <c r="Q726">
        <v>1</v>
      </c>
      <c r="R726">
        <v>0</v>
      </c>
      <c r="S726" s="2" t="str">
        <f>IFERROR(VLOOKUP(C726,Sheet2!B:E,4,0),C726)</f>
        <v>优惠产品</v>
      </c>
    </row>
    <row r="727" spans="1:19" x14ac:dyDescent="0.2">
      <c r="A727" t="s">
        <v>2875</v>
      </c>
      <c r="B727">
        <v>2998</v>
      </c>
      <c r="C727" t="s">
        <v>26</v>
      </c>
      <c r="D727" t="s">
        <v>971</v>
      </c>
      <c r="E727" t="s">
        <v>1511</v>
      </c>
      <c r="F727" t="s">
        <v>1509</v>
      </c>
      <c r="G727" s="2" t="s">
        <v>1510</v>
      </c>
      <c r="H727" t="s">
        <v>18</v>
      </c>
      <c r="I727" t="s">
        <v>930</v>
      </c>
      <c r="J727" t="s">
        <v>930</v>
      </c>
      <c r="K727" t="s">
        <v>347</v>
      </c>
      <c r="L727" t="s">
        <v>930</v>
      </c>
      <c r="M727" t="s">
        <v>348</v>
      </c>
      <c r="N727" t="s">
        <v>61</v>
      </c>
      <c r="O727" t="s">
        <v>39</v>
      </c>
      <c r="P727" t="s">
        <v>25</v>
      </c>
      <c r="Q727">
        <v>1</v>
      </c>
      <c r="R727">
        <v>0</v>
      </c>
      <c r="S727" s="2" t="str">
        <f>IFERROR(VLOOKUP(C727,Sheet2!B:E,4,0),C727)</f>
        <v>一般产品</v>
      </c>
    </row>
    <row r="728" spans="1:19" x14ac:dyDescent="0.2">
      <c r="A728" t="s">
        <v>2876</v>
      </c>
      <c r="B728">
        <v>2998</v>
      </c>
      <c r="C728" t="s">
        <v>26</v>
      </c>
      <c r="D728" t="s">
        <v>2257</v>
      </c>
      <c r="E728" t="s">
        <v>354</v>
      </c>
      <c r="F728" t="s">
        <v>2242</v>
      </c>
      <c r="G728" s="2" t="s">
        <v>2243</v>
      </c>
      <c r="H728" t="s">
        <v>18</v>
      </c>
      <c r="I728" t="s">
        <v>81</v>
      </c>
      <c r="J728" t="s">
        <v>1230</v>
      </c>
      <c r="K728" t="s">
        <v>930</v>
      </c>
      <c r="L728" t="s">
        <v>930</v>
      </c>
      <c r="M728" t="s">
        <v>1231</v>
      </c>
      <c r="N728" t="s">
        <v>68</v>
      </c>
      <c r="O728" t="s">
        <v>33</v>
      </c>
      <c r="P728" t="s">
        <v>34</v>
      </c>
      <c r="Q728">
        <v>1</v>
      </c>
      <c r="R728">
        <v>0</v>
      </c>
      <c r="S728" s="2" t="str">
        <f>IFERROR(VLOOKUP(C728,Sheet2!B:E,4,0),C728)</f>
        <v>一般产品</v>
      </c>
    </row>
    <row r="729" spans="1:19" x14ac:dyDescent="0.2">
      <c r="A729" t="s">
        <v>2877</v>
      </c>
      <c r="B729">
        <v>2999</v>
      </c>
      <c r="C729" t="s">
        <v>589</v>
      </c>
      <c r="D729" t="s">
        <v>50</v>
      </c>
      <c r="E729" t="s">
        <v>1043</v>
      </c>
      <c r="F729" t="s">
        <v>1031</v>
      </c>
      <c r="G729" s="2" t="s">
        <v>1032</v>
      </c>
      <c r="H729" t="s">
        <v>18</v>
      </c>
      <c r="I729" t="s">
        <v>295</v>
      </c>
      <c r="J729" t="s">
        <v>296</v>
      </c>
      <c r="K729" t="s">
        <v>930</v>
      </c>
      <c r="L729" t="s">
        <v>930</v>
      </c>
      <c r="M729" t="s">
        <v>297</v>
      </c>
      <c r="N729" t="s">
        <v>51</v>
      </c>
      <c r="O729" t="s">
        <v>33</v>
      </c>
      <c r="P729" t="s">
        <v>34</v>
      </c>
      <c r="Q729">
        <v>1</v>
      </c>
      <c r="R729">
        <v>0</v>
      </c>
      <c r="S729" s="2" t="str">
        <f>IFERROR(VLOOKUP(C729,Sheet2!B:E,4,0),C729)</f>
        <v>优惠产品</v>
      </c>
    </row>
    <row r="730" spans="1:19" x14ac:dyDescent="0.2">
      <c r="A730" t="s">
        <v>2878</v>
      </c>
      <c r="B730">
        <v>1800</v>
      </c>
      <c r="C730" t="s">
        <v>26</v>
      </c>
      <c r="D730" t="s">
        <v>50</v>
      </c>
      <c r="E730" t="s">
        <v>1790</v>
      </c>
      <c r="F730" t="s">
        <v>1068</v>
      </c>
      <c r="G730" s="2" t="s">
        <v>1069</v>
      </c>
      <c r="H730" t="s">
        <v>18</v>
      </c>
      <c r="I730" t="s">
        <v>121</v>
      </c>
      <c r="J730" t="s">
        <v>122</v>
      </c>
      <c r="K730" t="s">
        <v>930</v>
      </c>
      <c r="L730" t="s">
        <v>930</v>
      </c>
      <c r="M730" t="s">
        <v>123</v>
      </c>
      <c r="N730" t="s">
        <v>55</v>
      </c>
      <c r="O730" t="s">
        <v>33</v>
      </c>
      <c r="P730" t="s">
        <v>34</v>
      </c>
      <c r="Q730">
        <v>1</v>
      </c>
      <c r="R730">
        <v>0</v>
      </c>
      <c r="S730" s="2" t="str">
        <f>IFERROR(VLOOKUP(C730,Sheet2!B:E,4,0),C730)</f>
        <v>一般产品</v>
      </c>
    </row>
    <row r="731" spans="1:19" x14ac:dyDescent="0.2">
      <c r="A731" t="s">
        <v>2879</v>
      </c>
      <c r="B731">
        <v>5288</v>
      </c>
      <c r="C731" t="s">
        <v>575</v>
      </c>
      <c r="D731" t="s">
        <v>50</v>
      </c>
      <c r="E731" t="s">
        <v>2880</v>
      </c>
      <c r="F731" t="s">
        <v>793</v>
      </c>
      <c r="G731" s="2" t="s">
        <v>794</v>
      </c>
      <c r="H731" t="s">
        <v>18</v>
      </c>
      <c r="I731" t="s">
        <v>930</v>
      </c>
      <c r="J731" t="s">
        <v>930</v>
      </c>
      <c r="K731" t="s">
        <v>414</v>
      </c>
      <c r="L731" t="s">
        <v>930</v>
      </c>
      <c r="M731" t="s">
        <v>415</v>
      </c>
      <c r="N731" t="s">
        <v>114</v>
      </c>
      <c r="O731" t="s">
        <v>24</v>
      </c>
      <c r="P731" t="s">
        <v>25</v>
      </c>
      <c r="Q731">
        <v>1</v>
      </c>
      <c r="R731">
        <v>0</v>
      </c>
      <c r="S731" s="2" t="str">
        <f>IFERROR(VLOOKUP(C731,Sheet2!B:E,4,0),C731)</f>
        <v>优惠产品</v>
      </c>
    </row>
    <row r="732" spans="1:19" x14ac:dyDescent="0.2">
      <c r="A732" t="s">
        <v>2881</v>
      </c>
      <c r="B732">
        <v>4000</v>
      </c>
      <c r="C732" t="s">
        <v>26</v>
      </c>
      <c r="D732" t="s">
        <v>50</v>
      </c>
      <c r="E732" t="s">
        <v>2278</v>
      </c>
      <c r="F732" t="s">
        <v>177</v>
      </c>
      <c r="G732" s="2" t="s">
        <v>178</v>
      </c>
      <c r="H732" t="s">
        <v>28</v>
      </c>
      <c r="I732" t="s">
        <v>81</v>
      </c>
      <c r="J732" t="s">
        <v>1230</v>
      </c>
      <c r="K732" t="s">
        <v>930</v>
      </c>
      <c r="L732" t="s">
        <v>930</v>
      </c>
      <c r="M732" t="s">
        <v>1231</v>
      </c>
      <c r="N732" t="s">
        <v>68</v>
      </c>
      <c r="O732" t="s">
        <v>33</v>
      </c>
      <c r="P732" t="s">
        <v>34</v>
      </c>
      <c r="Q732">
        <v>1</v>
      </c>
      <c r="R732">
        <v>0</v>
      </c>
      <c r="S732" s="2" t="str">
        <f>IFERROR(VLOOKUP(C732,Sheet2!B:E,4,0),C732)</f>
        <v>一般产品</v>
      </c>
    </row>
    <row r="733" spans="1:19" x14ac:dyDescent="0.2">
      <c r="A733" t="s">
        <v>2882</v>
      </c>
      <c r="B733">
        <v>2799</v>
      </c>
      <c r="C733" t="s">
        <v>26</v>
      </c>
      <c r="D733" t="s">
        <v>2257</v>
      </c>
      <c r="E733" t="s">
        <v>2483</v>
      </c>
      <c r="F733" t="s">
        <v>849</v>
      </c>
      <c r="G733" s="2" t="s">
        <v>850</v>
      </c>
      <c r="H733" t="s">
        <v>18</v>
      </c>
      <c r="I733" t="s">
        <v>81</v>
      </c>
      <c r="J733" t="s">
        <v>1230</v>
      </c>
      <c r="K733" t="s">
        <v>930</v>
      </c>
      <c r="L733" t="s">
        <v>930</v>
      </c>
      <c r="M733" t="s">
        <v>1231</v>
      </c>
      <c r="N733" t="s">
        <v>68</v>
      </c>
      <c r="O733" t="s">
        <v>33</v>
      </c>
      <c r="P733" t="s">
        <v>34</v>
      </c>
      <c r="Q733">
        <v>1</v>
      </c>
      <c r="R733">
        <v>0</v>
      </c>
      <c r="S733" s="2" t="str">
        <f>IFERROR(VLOOKUP(C733,Sheet2!B:E,4,0),C733)</f>
        <v>一般产品</v>
      </c>
    </row>
    <row r="734" spans="1:19" x14ac:dyDescent="0.2">
      <c r="A734" t="s">
        <v>2883</v>
      </c>
      <c r="B734">
        <v>4000</v>
      </c>
      <c r="C734" t="s">
        <v>26</v>
      </c>
      <c r="D734" t="s">
        <v>50</v>
      </c>
      <c r="E734" t="s">
        <v>2884</v>
      </c>
      <c r="F734" t="s">
        <v>811</v>
      </c>
      <c r="G734" s="2" t="s">
        <v>812</v>
      </c>
      <c r="H734" t="s">
        <v>18</v>
      </c>
      <c r="I734" t="s">
        <v>930</v>
      </c>
      <c r="J734" t="s">
        <v>930</v>
      </c>
      <c r="K734" t="s">
        <v>106</v>
      </c>
      <c r="L734" t="s">
        <v>930</v>
      </c>
      <c r="M734" t="s">
        <v>1456</v>
      </c>
      <c r="N734" t="s">
        <v>108</v>
      </c>
      <c r="O734" t="s">
        <v>33</v>
      </c>
      <c r="P734" t="s">
        <v>34</v>
      </c>
      <c r="Q734">
        <v>1</v>
      </c>
      <c r="R734">
        <v>0</v>
      </c>
      <c r="S734" s="2" t="str">
        <f>IFERROR(VLOOKUP(C734,Sheet2!B:E,4,0),C734)</f>
        <v>一般产品</v>
      </c>
    </row>
    <row r="735" spans="1:19" x14ac:dyDescent="0.2">
      <c r="A735" t="s">
        <v>2885</v>
      </c>
      <c r="B735">
        <v>2600</v>
      </c>
      <c r="C735" t="s">
        <v>26</v>
      </c>
      <c r="D735" t="s">
        <v>50</v>
      </c>
      <c r="E735" t="s">
        <v>1796</v>
      </c>
      <c r="F735" t="s">
        <v>1495</v>
      </c>
      <c r="G735" s="2" t="s">
        <v>1496</v>
      </c>
      <c r="H735" t="s">
        <v>28</v>
      </c>
      <c r="I735" t="s">
        <v>930</v>
      </c>
      <c r="J735" t="s">
        <v>930</v>
      </c>
      <c r="K735" t="s">
        <v>79</v>
      </c>
      <c r="L735" t="s">
        <v>930</v>
      </c>
      <c r="M735" t="s">
        <v>80</v>
      </c>
      <c r="N735" t="s">
        <v>51</v>
      </c>
      <c r="O735" t="s">
        <v>33</v>
      </c>
      <c r="P735" t="s">
        <v>34</v>
      </c>
      <c r="Q735">
        <v>1</v>
      </c>
      <c r="R735">
        <v>0</v>
      </c>
      <c r="S735" s="2" t="str">
        <f>IFERROR(VLOOKUP(C735,Sheet2!B:E,4,0),C735)</f>
        <v>一般产品</v>
      </c>
    </row>
    <row r="736" spans="1:19" x14ac:dyDescent="0.2">
      <c r="A736" t="s">
        <v>2886</v>
      </c>
      <c r="B736">
        <v>2999</v>
      </c>
      <c r="C736" t="s">
        <v>26</v>
      </c>
      <c r="D736" t="s">
        <v>50</v>
      </c>
      <c r="E736" t="s">
        <v>2887</v>
      </c>
      <c r="F736" t="s">
        <v>1268</v>
      </c>
      <c r="G736" s="2" t="s">
        <v>1269</v>
      </c>
      <c r="H736" t="s">
        <v>18</v>
      </c>
      <c r="I736" t="s">
        <v>408</v>
      </c>
      <c r="J736" t="s">
        <v>1234</v>
      </c>
      <c r="K736" t="s">
        <v>930</v>
      </c>
      <c r="L736" t="s">
        <v>930</v>
      </c>
      <c r="M736" t="s">
        <v>1235</v>
      </c>
      <c r="N736" t="s">
        <v>55</v>
      </c>
      <c r="O736" t="s">
        <v>33</v>
      </c>
      <c r="P736" t="s">
        <v>34</v>
      </c>
      <c r="Q736">
        <v>1</v>
      </c>
      <c r="R736">
        <v>0</v>
      </c>
      <c r="S736" s="2" t="str">
        <f>IFERROR(VLOOKUP(C736,Sheet2!B:E,4,0),C736)</f>
        <v>一般产品</v>
      </c>
    </row>
    <row r="737" spans="1:19" x14ac:dyDescent="0.2">
      <c r="A737" t="s">
        <v>2888</v>
      </c>
      <c r="B737">
        <v>4000</v>
      </c>
      <c r="C737" t="s">
        <v>575</v>
      </c>
      <c r="D737" t="s">
        <v>726</v>
      </c>
      <c r="E737" t="s">
        <v>2472</v>
      </c>
      <c r="F737" t="s">
        <v>1041</v>
      </c>
      <c r="G737" s="2" t="s">
        <v>1042</v>
      </c>
      <c r="H737" t="s">
        <v>18</v>
      </c>
      <c r="I737" t="s">
        <v>930</v>
      </c>
      <c r="J737" t="s">
        <v>930</v>
      </c>
      <c r="K737" t="s">
        <v>115</v>
      </c>
      <c r="L737" t="s">
        <v>930</v>
      </c>
      <c r="M737" t="s">
        <v>116</v>
      </c>
      <c r="N737" t="s">
        <v>45</v>
      </c>
      <c r="O737" t="s">
        <v>117</v>
      </c>
      <c r="P737" t="s">
        <v>34</v>
      </c>
      <c r="Q737">
        <v>1</v>
      </c>
      <c r="R737">
        <v>0</v>
      </c>
      <c r="S737" s="2" t="str">
        <f>IFERROR(VLOOKUP(C737,Sheet2!B:E,4,0),C737)</f>
        <v>优惠产品</v>
      </c>
    </row>
    <row r="738" spans="1:19" x14ac:dyDescent="0.2">
      <c r="A738" t="s">
        <v>2889</v>
      </c>
      <c r="B738">
        <v>3299</v>
      </c>
      <c r="C738" t="s">
        <v>589</v>
      </c>
      <c r="D738" t="s">
        <v>2257</v>
      </c>
      <c r="E738" t="s">
        <v>2890</v>
      </c>
      <c r="F738" t="s">
        <v>1207</v>
      </c>
      <c r="G738" s="2" t="s">
        <v>1208</v>
      </c>
      <c r="H738" t="s">
        <v>18</v>
      </c>
      <c r="I738" t="s">
        <v>445</v>
      </c>
      <c r="J738" t="s">
        <v>446</v>
      </c>
      <c r="K738" t="s">
        <v>930</v>
      </c>
      <c r="L738" t="s">
        <v>930</v>
      </c>
      <c r="M738" t="s">
        <v>447</v>
      </c>
      <c r="N738" t="s">
        <v>44</v>
      </c>
      <c r="O738" t="s">
        <v>24</v>
      </c>
      <c r="P738" t="s">
        <v>25</v>
      </c>
      <c r="Q738">
        <v>1</v>
      </c>
      <c r="R738">
        <v>0</v>
      </c>
      <c r="S738" s="2" t="str">
        <f>IFERROR(VLOOKUP(C738,Sheet2!B:E,4,0),C738)</f>
        <v>优惠产品</v>
      </c>
    </row>
    <row r="739" spans="1:19" x14ac:dyDescent="0.2">
      <c r="A739" t="s">
        <v>2891</v>
      </c>
      <c r="B739">
        <v>1899</v>
      </c>
      <c r="C739" t="s">
        <v>26</v>
      </c>
      <c r="D739" t="s">
        <v>50</v>
      </c>
      <c r="E739" t="s">
        <v>1458</v>
      </c>
      <c r="F739" t="s">
        <v>643</v>
      </c>
      <c r="G739" s="2" t="s">
        <v>644</v>
      </c>
      <c r="H739" t="s">
        <v>28</v>
      </c>
      <c r="I739" t="s">
        <v>930</v>
      </c>
      <c r="J739" t="s">
        <v>930</v>
      </c>
      <c r="K739" t="s">
        <v>842</v>
      </c>
      <c r="L739" t="s">
        <v>930</v>
      </c>
      <c r="M739" t="s">
        <v>932</v>
      </c>
      <c r="N739" t="s">
        <v>85</v>
      </c>
      <c r="O739" t="s">
        <v>33</v>
      </c>
      <c r="P739" t="s">
        <v>34</v>
      </c>
      <c r="Q739">
        <v>1</v>
      </c>
      <c r="R739">
        <v>0</v>
      </c>
      <c r="S739" s="2" t="str">
        <f>IFERROR(VLOOKUP(C739,Sheet2!B:E,4,0),C739)</f>
        <v>一般产品</v>
      </c>
    </row>
    <row r="740" spans="1:19" x14ac:dyDescent="0.2">
      <c r="A740" t="s">
        <v>2892</v>
      </c>
      <c r="B740">
        <v>2780</v>
      </c>
      <c r="C740" t="s">
        <v>575</v>
      </c>
      <c r="D740" t="s">
        <v>2257</v>
      </c>
      <c r="E740" t="s">
        <v>2893</v>
      </c>
      <c r="F740" t="s">
        <v>1477</v>
      </c>
      <c r="G740" s="2" t="s">
        <v>1478</v>
      </c>
      <c r="H740" t="s">
        <v>18</v>
      </c>
      <c r="I740" t="s">
        <v>139</v>
      </c>
      <c r="J740" t="s">
        <v>140</v>
      </c>
      <c r="K740" t="s">
        <v>930</v>
      </c>
      <c r="L740" t="s">
        <v>930</v>
      </c>
      <c r="M740" t="s">
        <v>141</v>
      </c>
      <c r="N740" t="s">
        <v>136</v>
      </c>
      <c r="O740" t="s">
        <v>95</v>
      </c>
      <c r="P740" t="s">
        <v>90</v>
      </c>
      <c r="Q740">
        <v>1</v>
      </c>
      <c r="R740">
        <v>0</v>
      </c>
      <c r="S740" s="2" t="str">
        <f>IFERROR(VLOOKUP(C740,Sheet2!B:E,4,0),C740)</f>
        <v>优惠产品</v>
      </c>
    </row>
    <row r="741" spans="1:19" x14ac:dyDescent="0.2">
      <c r="A741" t="s">
        <v>2894</v>
      </c>
      <c r="B741">
        <v>2500</v>
      </c>
      <c r="C741" t="s">
        <v>26</v>
      </c>
      <c r="D741" t="s">
        <v>50</v>
      </c>
      <c r="E741" t="s">
        <v>1327</v>
      </c>
      <c r="F741" t="s">
        <v>1260</v>
      </c>
      <c r="G741" s="2" t="s">
        <v>1261</v>
      </c>
      <c r="H741" t="s">
        <v>18</v>
      </c>
      <c r="I741" t="s">
        <v>930</v>
      </c>
      <c r="J741" t="s">
        <v>930</v>
      </c>
      <c r="K741" t="s">
        <v>548</v>
      </c>
      <c r="L741" t="s">
        <v>930</v>
      </c>
      <c r="M741" t="s">
        <v>549</v>
      </c>
      <c r="N741" t="s">
        <v>32</v>
      </c>
      <c r="O741" t="s">
        <v>33</v>
      </c>
      <c r="P741" t="s">
        <v>34</v>
      </c>
      <c r="Q741">
        <v>1</v>
      </c>
      <c r="R741">
        <v>0</v>
      </c>
      <c r="S741" s="2" t="str">
        <f>IFERROR(VLOOKUP(C741,Sheet2!B:E,4,0),C741)</f>
        <v>一般产品</v>
      </c>
    </row>
    <row r="742" spans="1:19" x14ac:dyDescent="0.2">
      <c r="A742" t="s">
        <v>2895</v>
      </c>
      <c r="B742">
        <v>4000</v>
      </c>
      <c r="C742" t="s">
        <v>26</v>
      </c>
      <c r="D742" t="s">
        <v>50</v>
      </c>
      <c r="E742" t="s">
        <v>280</v>
      </c>
      <c r="F742" t="s">
        <v>1333</v>
      </c>
      <c r="G742" s="2" t="s">
        <v>1334</v>
      </c>
      <c r="H742" t="s">
        <v>18</v>
      </c>
      <c r="I742" t="s">
        <v>281</v>
      </c>
      <c r="J742" t="s">
        <v>282</v>
      </c>
      <c r="K742" t="s">
        <v>930</v>
      </c>
      <c r="L742" t="s">
        <v>930</v>
      </c>
      <c r="M742" t="s">
        <v>283</v>
      </c>
      <c r="N742" t="s">
        <v>68</v>
      </c>
      <c r="O742" t="s">
        <v>33</v>
      </c>
      <c r="P742" t="s">
        <v>34</v>
      </c>
      <c r="Q742">
        <v>1</v>
      </c>
      <c r="R742">
        <v>0</v>
      </c>
      <c r="S742" s="2" t="str">
        <f>IFERROR(VLOOKUP(C742,Sheet2!B:E,4,0),C742)</f>
        <v>一般产品</v>
      </c>
    </row>
    <row r="743" spans="1:19" x14ac:dyDescent="0.2">
      <c r="A743" t="s">
        <v>2896</v>
      </c>
      <c r="B743">
        <v>1000</v>
      </c>
      <c r="C743" t="s">
        <v>26</v>
      </c>
      <c r="D743" t="s">
        <v>50</v>
      </c>
      <c r="E743" t="s">
        <v>2897</v>
      </c>
      <c r="F743" t="s">
        <v>2898</v>
      </c>
      <c r="G743" s="2" t="s">
        <v>2899</v>
      </c>
      <c r="H743" t="s">
        <v>18</v>
      </c>
      <c r="I743" t="s">
        <v>404</v>
      </c>
      <c r="J743" t="s">
        <v>405</v>
      </c>
      <c r="K743" t="s">
        <v>930</v>
      </c>
      <c r="L743" t="s">
        <v>930</v>
      </c>
      <c r="M743" t="s">
        <v>406</v>
      </c>
      <c r="N743" t="s">
        <v>55</v>
      </c>
      <c r="O743" t="s">
        <v>33</v>
      </c>
      <c r="P743" t="s">
        <v>34</v>
      </c>
      <c r="Q743">
        <v>1</v>
      </c>
      <c r="R743">
        <v>0</v>
      </c>
      <c r="S743" s="2" t="str">
        <f>IFERROR(VLOOKUP(C743,Sheet2!B:E,4,0),C743)</f>
        <v>一般产品</v>
      </c>
    </row>
    <row r="744" spans="1:19" x14ac:dyDescent="0.2">
      <c r="A744" t="s">
        <v>2900</v>
      </c>
      <c r="B744">
        <v>1199</v>
      </c>
      <c r="C744" t="s">
        <v>26</v>
      </c>
      <c r="D744" t="s">
        <v>2257</v>
      </c>
      <c r="E744" t="s">
        <v>2567</v>
      </c>
      <c r="F744" t="s">
        <v>1407</v>
      </c>
      <c r="G744" s="2" t="s">
        <v>1408</v>
      </c>
      <c r="H744" t="s">
        <v>18</v>
      </c>
      <c r="I744" t="s">
        <v>301</v>
      </c>
      <c r="J744" t="s">
        <v>302</v>
      </c>
      <c r="K744" t="s">
        <v>930</v>
      </c>
      <c r="L744" t="s">
        <v>930</v>
      </c>
      <c r="M744" t="s">
        <v>303</v>
      </c>
      <c r="N744" t="s">
        <v>194</v>
      </c>
      <c r="O744" t="s">
        <v>24</v>
      </c>
      <c r="P744" t="s">
        <v>25</v>
      </c>
      <c r="Q744">
        <v>1</v>
      </c>
      <c r="R744">
        <v>0</v>
      </c>
      <c r="S744" s="2" t="str">
        <f>IFERROR(VLOOKUP(C744,Sheet2!B:E,4,0),C744)</f>
        <v>一般产品</v>
      </c>
    </row>
    <row r="745" spans="1:19" x14ac:dyDescent="0.2">
      <c r="A745" t="s">
        <v>2901</v>
      </c>
      <c r="B745">
        <v>1998</v>
      </c>
      <c r="C745" t="s">
        <v>26</v>
      </c>
      <c r="D745" t="s">
        <v>971</v>
      </c>
      <c r="E745" t="s">
        <v>2902</v>
      </c>
      <c r="F745" t="s">
        <v>2432</v>
      </c>
      <c r="G745" s="2" t="s">
        <v>2433</v>
      </c>
      <c r="H745" t="s">
        <v>18</v>
      </c>
      <c r="I745" t="s">
        <v>727</v>
      </c>
      <c r="J745" t="s">
        <v>728</v>
      </c>
      <c r="K745" t="s">
        <v>930</v>
      </c>
      <c r="L745" t="s">
        <v>930</v>
      </c>
      <c r="M745" t="s">
        <v>729</v>
      </c>
      <c r="N745" t="s">
        <v>73</v>
      </c>
      <c r="O745" t="s">
        <v>24</v>
      </c>
      <c r="P745" t="s">
        <v>25</v>
      </c>
      <c r="Q745">
        <v>1</v>
      </c>
      <c r="R745">
        <v>0</v>
      </c>
      <c r="S745" s="2" t="str">
        <f>IFERROR(VLOOKUP(C745,Sheet2!B:E,4,0),C745)</f>
        <v>一般产品</v>
      </c>
    </row>
    <row r="746" spans="1:19" x14ac:dyDescent="0.2">
      <c r="A746" t="s">
        <v>2903</v>
      </c>
      <c r="B746">
        <v>2799</v>
      </c>
      <c r="C746" t="s">
        <v>575</v>
      </c>
      <c r="D746" t="s">
        <v>971</v>
      </c>
      <c r="E746" t="s">
        <v>2904</v>
      </c>
      <c r="F746" t="s">
        <v>633</v>
      </c>
      <c r="G746" s="2" t="s">
        <v>634</v>
      </c>
      <c r="H746" t="s">
        <v>18</v>
      </c>
      <c r="I746" t="s">
        <v>133</v>
      </c>
      <c r="J746" t="s">
        <v>134</v>
      </c>
      <c r="K746" t="s">
        <v>930</v>
      </c>
      <c r="L746" t="s">
        <v>930</v>
      </c>
      <c r="M746" t="s">
        <v>135</v>
      </c>
      <c r="N746" t="s">
        <v>73</v>
      </c>
      <c r="O746" t="s">
        <v>24</v>
      </c>
      <c r="P746" t="s">
        <v>25</v>
      </c>
      <c r="Q746">
        <v>1</v>
      </c>
      <c r="R746">
        <v>0</v>
      </c>
      <c r="S746" s="2" t="str">
        <f>IFERROR(VLOOKUP(C746,Sheet2!B:E,4,0),C746)</f>
        <v>优惠产品</v>
      </c>
    </row>
    <row r="747" spans="1:19" x14ac:dyDescent="0.2">
      <c r="A747" t="s">
        <v>2905</v>
      </c>
      <c r="B747">
        <v>5000</v>
      </c>
      <c r="C747" t="s">
        <v>589</v>
      </c>
      <c r="D747" t="s">
        <v>50</v>
      </c>
      <c r="E747" t="s">
        <v>2906</v>
      </c>
      <c r="F747" t="s">
        <v>1384</v>
      </c>
      <c r="G747" s="2" t="s">
        <v>1385</v>
      </c>
      <c r="H747" t="s">
        <v>18</v>
      </c>
      <c r="I747" t="s">
        <v>198</v>
      </c>
      <c r="J747" t="s">
        <v>199</v>
      </c>
      <c r="K747" t="s">
        <v>930</v>
      </c>
      <c r="L747" t="s">
        <v>930</v>
      </c>
      <c r="M747" t="s">
        <v>1048</v>
      </c>
      <c r="N747" t="s">
        <v>108</v>
      </c>
      <c r="O747" t="s">
        <v>33</v>
      </c>
      <c r="P747" t="s">
        <v>34</v>
      </c>
      <c r="Q747">
        <v>1</v>
      </c>
      <c r="R747">
        <v>0</v>
      </c>
      <c r="S747" s="2" t="str">
        <f>IFERROR(VLOOKUP(C747,Sheet2!B:E,4,0),C747)</f>
        <v>优惠产品</v>
      </c>
    </row>
    <row r="748" spans="1:19" x14ac:dyDescent="0.2">
      <c r="A748" t="s">
        <v>2907</v>
      </c>
      <c r="B748">
        <v>2099</v>
      </c>
      <c r="C748" t="s">
        <v>580</v>
      </c>
      <c r="D748" t="s">
        <v>2257</v>
      </c>
      <c r="E748" t="s">
        <v>1409</v>
      </c>
      <c r="F748" t="s">
        <v>435</v>
      </c>
      <c r="G748" s="2" t="s">
        <v>436</v>
      </c>
      <c r="H748" t="s">
        <v>18</v>
      </c>
      <c r="I748" t="s">
        <v>437</v>
      </c>
      <c r="J748" t="s">
        <v>438</v>
      </c>
      <c r="K748" t="s">
        <v>930</v>
      </c>
      <c r="L748" t="s">
        <v>930</v>
      </c>
      <c r="M748" t="s">
        <v>439</v>
      </c>
      <c r="N748" t="s">
        <v>194</v>
      </c>
      <c r="O748" t="s">
        <v>24</v>
      </c>
      <c r="P748" t="s">
        <v>25</v>
      </c>
      <c r="Q748">
        <v>1</v>
      </c>
      <c r="R748">
        <v>0</v>
      </c>
      <c r="S748" s="2" t="str">
        <f>IFERROR(VLOOKUP(C748,Sheet2!B:E,4,0),C748)</f>
        <v>10期贷</v>
      </c>
    </row>
    <row r="749" spans="1:19" x14ac:dyDescent="0.2">
      <c r="A749" t="s">
        <v>2908</v>
      </c>
      <c r="B749">
        <v>3980</v>
      </c>
      <c r="C749" t="s">
        <v>575</v>
      </c>
      <c r="D749" t="s">
        <v>971</v>
      </c>
      <c r="E749" t="s">
        <v>557</v>
      </c>
      <c r="F749" t="s">
        <v>1368</v>
      </c>
      <c r="G749" s="2" t="s">
        <v>1369</v>
      </c>
      <c r="H749" t="s">
        <v>18</v>
      </c>
      <c r="I749" t="s">
        <v>151</v>
      </c>
      <c r="J749" t="s">
        <v>152</v>
      </c>
      <c r="K749" t="s">
        <v>930</v>
      </c>
      <c r="L749" t="s">
        <v>930</v>
      </c>
      <c r="M749" t="s">
        <v>153</v>
      </c>
      <c r="N749" t="s">
        <v>61</v>
      </c>
      <c r="O749" t="s">
        <v>129</v>
      </c>
      <c r="P749" t="s">
        <v>25</v>
      </c>
      <c r="Q749">
        <v>1</v>
      </c>
      <c r="R749">
        <v>0</v>
      </c>
      <c r="S749" s="2" t="str">
        <f>IFERROR(VLOOKUP(C749,Sheet2!B:E,4,0),C749)</f>
        <v>优惠产品</v>
      </c>
    </row>
    <row r="750" spans="1:19" x14ac:dyDescent="0.2">
      <c r="A750" t="s">
        <v>2909</v>
      </c>
      <c r="B750">
        <v>1200</v>
      </c>
      <c r="C750" t="s">
        <v>26</v>
      </c>
      <c r="D750" t="s">
        <v>2257</v>
      </c>
      <c r="E750" t="s">
        <v>2910</v>
      </c>
      <c r="F750" t="s">
        <v>617</v>
      </c>
      <c r="G750" s="2" t="s">
        <v>618</v>
      </c>
      <c r="H750" t="s">
        <v>18</v>
      </c>
      <c r="I750" t="s">
        <v>421</v>
      </c>
      <c r="J750" t="s">
        <v>422</v>
      </c>
      <c r="K750" t="s">
        <v>930</v>
      </c>
      <c r="L750" t="s">
        <v>930</v>
      </c>
      <c r="M750" t="s">
        <v>423</v>
      </c>
      <c r="N750" t="s">
        <v>68</v>
      </c>
      <c r="O750" t="s">
        <v>33</v>
      </c>
      <c r="P750" t="s">
        <v>34</v>
      </c>
      <c r="Q750">
        <v>1</v>
      </c>
      <c r="R750">
        <v>0</v>
      </c>
      <c r="S750" s="2" t="str">
        <f>IFERROR(VLOOKUP(C750,Sheet2!B:E,4,0),C750)</f>
        <v>一般产品</v>
      </c>
    </row>
    <row r="751" spans="1:19" x14ac:dyDescent="0.2">
      <c r="A751" t="s">
        <v>2911</v>
      </c>
      <c r="B751">
        <v>4000</v>
      </c>
      <c r="C751" t="s">
        <v>26</v>
      </c>
      <c r="D751" t="s">
        <v>50</v>
      </c>
      <c r="E751" t="s">
        <v>1124</v>
      </c>
      <c r="F751" t="s">
        <v>941</v>
      </c>
      <c r="G751" s="2" t="s">
        <v>942</v>
      </c>
      <c r="H751" t="s">
        <v>28</v>
      </c>
      <c r="I751" t="s">
        <v>408</v>
      </c>
      <c r="J751" t="s">
        <v>1234</v>
      </c>
      <c r="K751" t="s">
        <v>930</v>
      </c>
      <c r="L751" t="s">
        <v>930</v>
      </c>
      <c r="M751" t="s">
        <v>1235</v>
      </c>
      <c r="N751" t="s">
        <v>55</v>
      </c>
      <c r="O751" t="s">
        <v>33</v>
      </c>
      <c r="P751" t="s">
        <v>34</v>
      </c>
      <c r="Q751">
        <v>1</v>
      </c>
      <c r="R751">
        <v>0</v>
      </c>
      <c r="S751" s="2" t="str">
        <f>IFERROR(VLOOKUP(C751,Sheet2!B:E,4,0),C751)</f>
        <v>一般产品</v>
      </c>
    </row>
    <row r="752" spans="1:19" x14ac:dyDescent="0.2">
      <c r="A752" t="s">
        <v>2912</v>
      </c>
      <c r="B752">
        <v>2600</v>
      </c>
      <c r="C752" t="s">
        <v>26</v>
      </c>
      <c r="D752" t="s">
        <v>50</v>
      </c>
      <c r="E752" t="s">
        <v>2897</v>
      </c>
      <c r="F752" t="s">
        <v>1606</v>
      </c>
      <c r="G752" s="2" t="s">
        <v>1607</v>
      </c>
      <c r="H752" t="s">
        <v>18</v>
      </c>
      <c r="I752" t="s">
        <v>404</v>
      </c>
      <c r="J752" t="s">
        <v>405</v>
      </c>
      <c r="K752" t="s">
        <v>930</v>
      </c>
      <c r="L752" t="s">
        <v>930</v>
      </c>
      <c r="M752" t="s">
        <v>406</v>
      </c>
      <c r="N752" t="s">
        <v>55</v>
      </c>
      <c r="O752" t="s">
        <v>33</v>
      </c>
      <c r="P752" t="s">
        <v>34</v>
      </c>
      <c r="Q752">
        <v>1</v>
      </c>
      <c r="R752">
        <v>0</v>
      </c>
      <c r="S752" s="2" t="str">
        <f>IFERROR(VLOOKUP(C752,Sheet2!B:E,4,0),C752)</f>
        <v>一般产品</v>
      </c>
    </row>
    <row r="753" spans="1:19" x14ac:dyDescent="0.2">
      <c r="A753" t="s">
        <v>2913</v>
      </c>
      <c r="B753">
        <v>3000</v>
      </c>
      <c r="C753" t="s">
        <v>26</v>
      </c>
      <c r="D753" t="s">
        <v>50</v>
      </c>
      <c r="E753" t="s">
        <v>2914</v>
      </c>
      <c r="F753" t="s">
        <v>2915</v>
      </c>
      <c r="G753" s="2" t="s">
        <v>2916</v>
      </c>
      <c r="H753" t="s">
        <v>18</v>
      </c>
      <c r="I753" t="s">
        <v>207</v>
      </c>
      <c r="J753" t="s">
        <v>208</v>
      </c>
      <c r="K753" t="s">
        <v>930</v>
      </c>
      <c r="L753" t="s">
        <v>930</v>
      </c>
      <c r="M753" t="s">
        <v>209</v>
      </c>
      <c r="N753" t="s">
        <v>32</v>
      </c>
      <c r="O753" t="s">
        <v>33</v>
      </c>
      <c r="P753" t="s">
        <v>34</v>
      </c>
      <c r="Q753">
        <v>1</v>
      </c>
      <c r="R753">
        <v>0</v>
      </c>
      <c r="S753" s="2" t="str">
        <f>IFERROR(VLOOKUP(C753,Sheet2!B:E,4,0),C753)</f>
        <v>一般产品</v>
      </c>
    </row>
    <row r="754" spans="1:19" x14ac:dyDescent="0.2">
      <c r="A754" t="s">
        <v>2917</v>
      </c>
      <c r="B754">
        <v>2800</v>
      </c>
      <c r="C754" t="s">
        <v>26</v>
      </c>
      <c r="D754" t="s">
        <v>2257</v>
      </c>
      <c r="E754" t="s">
        <v>2565</v>
      </c>
      <c r="F754" t="s">
        <v>829</v>
      </c>
      <c r="G754" s="2" t="s">
        <v>830</v>
      </c>
      <c r="H754" t="s">
        <v>18</v>
      </c>
      <c r="I754" t="s">
        <v>930</v>
      </c>
      <c r="J754" t="s">
        <v>930</v>
      </c>
      <c r="K754" t="s">
        <v>163</v>
      </c>
      <c r="L754" t="s">
        <v>930</v>
      </c>
      <c r="M754" t="s">
        <v>931</v>
      </c>
      <c r="N754" t="s">
        <v>68</v>
      </c>
      <c r="O754" t="s">
        <v>33</v>
      </c>
      <c r="P754" t="s">
        <v>34</v>
      </c>
      <c r="Q754">
        <v>1</v>
      </c>
      <c r="R754">
        <v>0</v>
      </c>
      <c r="S754" s="2" t="str">
        <f>IFERROR(VLOOKUP(C754,Sheet2!B:E,4,0),C754)</f>
        <v>一般产品</v>
      </c>
    </row>
    <row r="755" spans="1:19" x14ac:dyDescent="0.2">
      <c r="A755" t="s">
        <v>2918</v>
      </c>
      <c r="B755">
        <v>1699</v>
      </c>
      <c r="C755" t="s">
        <v>589</v>
      </c>
      <c r="D755" t="s">
        <v>2257</v>
      </c>
      <c r="E755" t="s">
        <v>1484</v>
      </c>
      <c r="F755" t="s">
        <v>576</v>
      </c>
      <c r="G755" s="2" t="s">
        <v>577</v>
      </c>
      <c r="H755" t="s">
        <v>18</v>
      </c>
      <c r="I755" t="s">
        <v>227</v>
      </c>
      <c r="J755" t="s">
        <v>228</v>
      </c>
      <c r="K755" t="s">
        <v>930</v>
      </c>
      <c r="L755" t="s">
        <v>930</v>
      </c>
      <c r="M755" t="s">
        <v>229</v>
      </c>
      <c r="N755" t="s">
        <v>194</v>
      </c>
      <c r="O755" t="s">
        <v>24</v>
      </c>
      <c r="P755" t="s">
        <v>25</v>
      </c>
      <c r="Q755">
        <v>1</v>
      </c>
      <c r="R755">
        <v>0</v>
      </c>
      <c r="S755" s="2" t="str">
        <f>IFERROR(VLOOKUP(C755,Sheet2!B:E,4,0),C755)</f>
        <v>优惠产品</v>
      </c>
    </row>
    <row r="756" spans="1:19" x14ac:dyDescent="0.2">
      <c r="A756" t="s">
        <v>2919</v>
      </c>
      <c r="B756">
        <v>1028</v>
      </c>
      <c r="C756" t="s">
        <v>589</v>
      </c>
      <c r="D756" t="s">
        <v>2257</v>
      </c>
      <c r="E756" t="s">
        <v>508</v>
      </c>
      <c r="F756" t="s">
        <v>1107</v>
      </c>
      <c r="G756" s="2" t="s">
        <v>1108</v>
      </c>
      <c r="H756" t="s">
        <v>18</v>
      </c>
      <c r="I756" t="s">
        <v>511</v>
      </c>
      <c r="J756" t="s">
        <v>512</v>
      </c>
      <c r="K756" t="s">
        <v>930</v>
      </c>
      <c r="L756" t="s">
        <v>930</v>
      </c>
      <c r="M756" t="s">
        <v>513</v>
      </c>
      <c r="N756" t="s">
        <v>146</v>
      </c>
      <c r="O756" t="s">
        <v>33</v>
      </c>
      <c r="P756" t="s">
        <v>34</v>
      </c>
      <c r="Q756">
        <v>1</v>
      </c>
      <c r="R756">
        <v>0</v>
      </c>
      <c r="S756" s="2" t="str">
        <f>IFERROR(VLOOKUP(C756,Sheet2!B:E,4,0),C756)</f>
        <v>优惠产品</v>
      </c>
    </row>
    <row r="757" spans="1:19" x14ac:dyDescent="0.2">
      <c r="A757" t="s">
        <v>2920</v>
      </c>
      <c r="B757">
        <v>2300</v>
      </c>
      <c r="C757" t="s">
        <v>26</v>
      </c>
      <c r="D757" t="s">
        <v>50</v>
      </c>
      <c r="E757" t="s">
        <v>2921</v>
      </c>
      <c r="F757" t="s">
        <v>997</v>
      </c>
      <c r="G757" s="2" t="s">
        <v>998</v>
      </c>
      <c r="H757" t="s">
        <v>18</v>
      </c>
      <c r="I757" t="s">
        <v>404</v>
      </c>
      <c r="J757" t="s">
        <v>405</v>
      </c>
      <c r="K757" t="s">
        <v>930</v>
      </c>
      <c r="L757" t="s">
        <v>930</v>
      </c>
      <c r="M757" t="s">
        <v>406</v>
      </c>
      <c r="N757" t="s">
        <v>55</v>
      </c>
      <c r="O757" t="s">
        <v>33</v>
      </c>
      <c r="P757" t="s">
        <v>34</v>
      </c>
      <c r="Q757">
        <v>1</v>
      </c>
      <c r="R757">
        <v>0</v>
      </c>
      <c r="S757" s="2" t="str">
        <f>IFERROR(VLOOKUP(C757,Sheet2!B:E,4,0),C757)</f>
        <v>一般产品</v>
      </c>
    </row>
    <row r="758" spans="1:19" x14ac:dyDescent="0.2">
      <c r="A758" t="s">
        <v>2922</v>
      </c>
      <c r="B758">
        <v>1199</v>
      </c>
      <c r="C758" t="s">
        <v>26</v>
      </c>
      <c r="D758" t="s">
        <v>2257</v>
      </c>
      <c r="E758" t="s">
        <v>2923</v>
      </c>
      <c r="F758" t="s">
        <v>484</v>
      </c>
      <c r="G758" s="2" t="s">
        <v>485</v>
      </c>
      <c r="H758" t="s">
        <v>18</v>
      </c>
      <c r="I758" t="s">
        <v>103</v>
      </c>
      <c r="J758" t="s">
        <v>104</v>
      </c>
      <c r="K758" t="s">
        <v>930</v>
      </c>
      <c r="L758" t="s">
        <v>930</v>
      </c>
      <c r="M758" t="s">
        <v>105</v>
      </c>
      <c r="N758" t="s">
        <v>47</v>
      </c>
      <c r="O758" t="s">
        <v>33</v>
      </c>
      <c r="P758" t="s">
        <v>34</v>
      </c>
      <c r="Q758">
        <v>1</v>
      </c>
      <c r="R758">
        <v>0</v>
      </c>
      <c r="S758" s="2" t="str">
        <f>IFERROR(VLOOKUP(C758,Sheet2!B:E,4,0),C758)</f>
        <v>一般产品</v>
      </c>
    </row>
    <row r="759" spans="1:19" x14ac:dyDescent="0.2">
      <c r="A759" t="s">
        <v>2924</v>
      </c>
      <c r="B759">
        <v>1800</v>
      </c>
      <c r="C759" t="s">
        <v>26</v>
      </c>
      <c r="D759" t="s">
        <v>50</v>
      </c>
      <c r="E759" t="s">
        <v>1287</v>
      </c>
      <c r="F759" t="s">
        <v>1028</v>
      </c>
      <c r="G759" s="2" t="s">
        <v>1029</v>
      </c>
      <c r="H759" t="s">
        <v>18</v>
      </c>
      <c r="I759" t="s">
        <v>221</v>
      </c>
      <c r="J759" t="s">
        <v>222</v>
      </c>
      <c r="K759" t="s">
        <v>930</v>
      </c>
      <c r="L759" t="s">
        <v>930</v>
      </c>
      <c r="M759" t="s">
        <v>223</v>
      </c>
      <c r="N759" t="s">
        <v>55</v>
      </c>
      <c r="O759" t="s">
        <v>33</v>
      </c>
      <c r="P759" t="s">
        <v>34</v>
      </c>
      <c r="Q759">
        <v>1</v>
      </c>
      <c r="R759">
        <v>0</v>
      </c>
      <c r="S759" s="2" t="str">
        <f>IFERROR(VLOOKUP(C759,Sheet2!B:E,4,0),C759)</f>
        <v>一般产品</v>
      </c>
    </row>
    <row r="760" spans="1:19" x14ac:dyDescent="0.2">
      <c r="A760" t="s">
        <v>2925</v>
      </c>
      <c r="B760">
        <v>3549</v>
      </c>
      <c r="C760" t="s">
        <v>26</v>
      </c>
      <c r="D760" t="s">
        <v>50</v>
      </c>
      <c r="E760" t="s">
        <v>1602</v>
      </c>
      <c r="F760" t="s">
        <v>614</v>
      </c>
      <c r="G760" s="2" t="s">
        <v>615</v>
      </c>
      <c r="H760" t="s">
        <v>18</v>
      </c>
      <c r="I760" t="s">
        <v>930</v>
      </c>
      <c r="J760" t="s">
        <v>930</v>
      </c>
      <c r="K760" t="s">
        <v>693</v>
      </c>
      <c r="L760" t="s">
        <v>930</v>
      </c>
      <c r="M760" t="s">
        <v>1050</v>
      </c>
      <c r="N760" t="s">
        <v>68</v>
      </c>
      <c r="O760" t="s">
        <v>33</v>
      </c>
      <c r="P760" t="s">
        <v>34</v>
      </c>
      <c r="Q760">
        <v>1</v>
      </c>
      <c r="R760">
        <v>0</v>
      </c>
      <c r="S760" s="2" t="str">
        <f>IFERROR(VLOOKUP(C760,Sheet2!B:E,4,0),C760)</f>
        <v>一般产品</v>
      </c>
    </row>
    <row r="761" spans="1:19" x14ac:dyDescent="0.2">
      <c r="A761" t="s">
        <v>2926</v>
      </c>
      <c r="B761">
        <v>2298</v>
      </c>
      <c r="C761" t="s">
        <v>589</v>
      </c>
      <c r="D761" t="s">
        <v>2257</v>
      </c>
      <c r="E761" t="s">
        <v>2927</v>
      </c>
      <c r="F761" t="s">
        <v>202</v>
      </c>
      <c r="G761" s="2" t="s">
        <v>203</v>
      </c>
      <c r="H761" t="s">
        <v>18</v>
      </c>
      <c r="I761" t="s">
        <v>204</v>
      </c>
      <c r="J761" t="s">
        <v>205</v>
      </c>
      <c r="K761" t="s">
        <v>930</v>
      </c>
      <c r="L761" t="s">
        <v>930</v>
      </c>
      <c r="M761" t="s">
        <v>206</v>
      </c>
      <c r="N761" t="s">
        <v>44</v>
      </c>
      <c r="O761" t="s">
        <v>24</v>
      </c>
      <c r="P761" t="s">
        <v>25</v>
      </c>
      <c r="Q761">
        <v>1</v>
      </c>
      <c r="R761">
        <v>0</v>
      </c>
      <c r="S761" s="2" t="str">
        <f>IFERROR(VLOOKUP(C761,Sheet2!B:E,4,0),C761)</f>
        <v>优惠产品</v>
      </c>
    </row>
    <row r="762" spans="1:19" x14ac:dyDescent="0.2">
      <c r="A762" t="s">
        <v>2928</v>
      </c>
      <c r="B762">
        <v>2000</v>
      </c>
      <c r="C762" t="s">
        <v>26</v>
      </c>
      <c r="D762" t="s">
        <v>50</v>
      </c>
      <c r="E762" t="s">
        <v>1450</v>
      </c>
      <c r="F762" t="s">
        <v>635</v>
      </c>
      <c r="G762" s="2" t="s">
        <v>636</v>
      </c>
      <c r="H762" t="s">
        <v>18</v>
      </c>
      <c r="I762" t="s">
        <v>255</v>
      </c>
      <c r="J762" t="s">
        <v>256</v>
      </c>
      <c r="K762" t="s">
        <v>930</v>
      </c>
      <c r="L762" t="s">
        <v>930</v>
      </c>
      <c r="M762" t="s">
        <v>257</v>
      </c>
      <c r="N762" t="s">
        <v>47</v>
      </c>
      <c r="O762" t="s">
        <v>33</v>
      </c>
      <c r="P762" t="s">
        <v>34</v>
      </c>
      <c r="Q762">
        <v>1</v>
      </c>
      <c r="R762">
        <v>0</v>
      </c>
      <c r="S762" s="2" t="str">
        <f>IFERROR(VLOOKUP(C762,Sheet2!B:E,4,0),C762)</f>
        <v>一般产品</v>
      </c>
    </row>
    <row r="763" spans="1:19" x14ac:dyDescent="0.2">
      <c r="A763" t="s">
        <v>2929</v>
      </c>
      <c r="B763">
        <v>2498</v>
      </c>
      <c r="C763" t="s">
        <v>575</v>
      </c>
      <c r="D763" t="s">
        <v>971</v>
      </c>
      <c r="E763" t="s">
        <v>2512</v>
      </c>
      <c r="F763" t="s">
        <v>989</v>
      </c>
      <c r="G763" s="2" t="s">
        <v>990</v>
      </c>
      <c r="H763" t="s">
        <v>18</v>
      </c>
      <c r="I763" t="s">
        <v>169</v>
      </c>
      <c r="J763" t="s">
        <v>170</v>
      </c>
      <c r="K763" t="s">
        <v>930</v>
      </c>
      <c r="L763" t="s">
        <v>930</v>
      </c>
      <c r="M763" t="s">
        <v>171</v>
      </c>
      <c r="N763" t="s">
        <v>38</v>
      </c>
      <c r="O763" t="s">
        <v>39</v>
      </c>
      <c r="P763" t="s">
        <v>25</v>
      </c>
      <c r="Q763">
        <v>1</v>
      </c>
      <c r="R763">
        <v>0</v>
      </c>
      <c r="S763" s="2" t="str">
        <f>IFERROR(VLOOKUP(C763,Sheet2!B:E,4,0),C763)</f>
        <v>优惠产品</v>
      </c>
    </row>
    <row r="764" spans="1:19" x14ac:dyDescent="0.2">
      <c r="A764" t="s">
        <v>2930</v>
      </c>
      <c r="B764">
        <v>3499</v>
      </c>
      <c r="C764" t="s">
        <v>589</v>
      </c>
      <c r="D764" t="s">
        <v>2257</v>
      </c>
      <c r="E764" t="s">
        <v>957</v>
      </c>
      <c r="F764" t="s">
        <v>992</v>
      </c>
      <c r="G764" s="2" t="s">
        <v>993</v>
      </c>
      <c r="H764" t="s">
        <v>18</v>
      </c>
      <c r="I764" t="s">
        <v>76</v>
      </c>
      <c r="J764" t="s">
        <v>77</v>
      </c>
      <c r="K764" t="s">
        <v>930</v>
      </c>
      <c r="L764" t="s">
        <v>930</v>
      </c>
      <c r="M764" t="s">
        <v>78</v>
      </c>
      <c r="N764" t="s">
        <v>44</v>
      </c>
      <c r="O764" t="s">
        <v>24</v>
      </c>
      <c r="P764" t="s">
        <v>25</v>
      </c>
      <c r="Q764">
        <v>1</v>
      </c>
      <c r="R764">
        <v>0</v>
      </c>
      <c r="S764" s="2" t="str">
        <f>IFERROR(VLOOKUP(C764,Sheet2!B:E,4,0),C764)</f>
        <v>优惠产品</v>
      </c>
    </row>
    <row r="765" spans="1:19" x14ac:dyDescent="0.2">
      <c r="A765" t="s">
        <v>2931</v>
      </c>
      <c r="B765">
        <v>2999</v>
      </c>
      <c r="C765" t="s">
        <v>26</v>
      </c>
      <c r="D765" t="s">
        <v>726</v>
      </c>
      <c r="E765" t="s">
        <v>1506</v>
      </c>
      <c r="F765" t="s">
        <v>391</v>
      </c>
      <c r="G765" s="2" t="s">
        <v>392</v>
      </c>
      <c r="H765" t="s">
        <v>18</v>
      </c>
      <c r="I765" t="s">
        <v>934</v>
      </c>
      <c r="J765" t="s">
        <v>935</v>
      </c>
      <c r="K765" t="s">
        <v>930</v>
      </c>
      <c r="L765" t="s">
        <v>930</v>
      </c>
      <c r="M765" t="s">
        <v>936</v>
      </c>
      <c r="N765" t="s">
        <v>45</v>
      </c>
      <c r="O765" t="s">
        <v>48</v>
      </c>
      <c r="P765" t="s">
        <v>49</v>
      </c>
      <c r="Q765">
        <v>1</v>
      </c>
      <c r="R765">
        <v>0</v>
      </c>
      <c r="S765" s="2" t="str">
        <f>IFERROR(VLOOKUP(C765,Sheet2!B:E,4,0),C765)</f>
        <v>一般产品</v>
      </c>
    </row>
    <row r="766" spans="1:19" x14ac:dyDescent="0.2">
      <c r="A766" t="s">
        <v>2932</v>
      </c>
      <c r="B766">
        <v>2500</v>
      </c>
      <c r="C766" t="s">
        <v>589</v>
      </c>
      <c r="D766" t="s">
        <v>50</v>
      </c>
      <c r="E766" t="s">
        <v>2933</v>
      </c>
      <c r="F766" t="s">
        <v>359</v>
      </c>
      <c r="G766" s="2" t="s">
        <v>360</v>
      </c>
      <c r="H766" t="s">
        <v>18</v>
      </c>
      <c r="I766" t="s">
        <v>156</v>
      </c>
      <c r="J766" t="s">
        <v>157</v>
      </c>
      <c r="K766" t="s">
        <v>930</v>
      </c>
      <c r="L766" t="s">
        <v>930</v>
      </c>
      <c r="M766" t="s">
        <v>158</v>
      </c>
      <c r="N766" t="s">
        <v>146</v>
      </c>
      <c r="O766" t="s">
        <v>33</v>
      </c>
      <c r="P766" t="s">
        <v>34</v>
      </c>
      <c r="Q766">
        <v>1</v>
      </c>
      <c r="R766">
        <v>0</v>
      </c>
      <c r="S766" s="2" t="str">
        <f>IFERROR(VLOOKUP(C766,Sheet2!B:E,4,0),C766)</f>
        <v>优惠产品</v>
      </c>
    </row>
    <row r="767" spans="1:19" x14ac:dyDescent="0.2">
      <c r="A767" t="s">
        <v>2934</v>
      </c>
      <c r="B767">
        <v>3000</v>
      </c>
      <c r="C767" t="s">
        <v>26</v>
      </c>
      <c r="D767" t="s">
        <v>50</v>
      </c>
      <c r="E767" t="s">
        <v>210</v>
      </c>
      <c r="F767" t="s">
        <v>1275</v>
      </c>
      <c r="G767" s="2" t="s">
        <v>1276</v>
      </c>
      <c r="H767" t="s">
        <v>18</v>
      </c>
      <c r="I767" t="s">
        <v>88</v>
      </c>
      <c r="J767" t="s">
        <v>89</v>
      </c>
      <c r="K767" t="s">
        <v>930</v>
      </c>
      <c r="L767" t="s">
        <v>930</v>
      </c>
      <c r="M767" t="s">
        <v>933</v>
      </c>
      <c r="N767" t="s">
        <v>32</v>
      </c>
      <c r="O767" t="s">
        <v>33</v>
      </c>
      <c r="P767" t="s">
        <v>34</v>
      </c>
      <c r="Q767">
        <v>1</v>
      </c>
      <c r="R767">
        <v>0</v>
      </c>
      <c r="S767" s="2" t="str">
        <f>IFERROR(VLOOKUP(C767,Sheet2!B:E,4,0),C767)</f>
        <v>一般产品</v>
      </c>
    </row>
    <row r="768" spans="1:19" x14ac:dyDescent="0.2">
      <c r="A768" t="s">
        <v>2935</v>
      </c>
      <c r="B768">
        <v>2100</v>
      </c>
      <c r="C768" t="s">
        <v>26</v>
      </c>
      <c r="D768" t="s">
        <v>2257</v>
      </c>
      <c r="E768" t="s">
        <v>2936</v>
      </c>
      <c r="F768" t="s">
        <v>1251</v>
      </c>
      <c r="G768" s="2" t="s">
        <v>1252</v>
      </c>
      <c r="H768" t="s">
        <v>18</v>
      </c>
      <c r="I768" t="s">
        <v>366</v>
      </c>
      <c r="J768" t="s">
        <v>367</v>
      </c>
      <c r="K768" t="s">
        <v>930</v>
      </c>
      <c r="L768" t="s">
        <v>930</v>
      </c>
      <c r="M768" t="s">
        <v>368</v>
      </c>
      <c r="N768" t="s">
        <v>47</v>
      </c>
      <c r="O768" t="s">
        <v>33</v>
      </c>
      <c r="P768" t="s">
        <v>34</v>
      </c>
      <c r="Q768">
        <v>1</v>
      </c>
      <c r="R768">
        <v>0</v>
      </c>
      <c r="S768" s="2" t="str">
        <f>IFERROR(VLOOKUP(C768,Sheet2!B:E,4,0),C768)</f>
        <v>一般产品</v>
      </c>
    </row>
    <row r="769" spans="1:19" x14ac:dyDescent="0.2">
      <c r="A769" t="s">
        <v>2937</v>
      </c>
      <c r="B769">
        <v>3600</v>
      </c>
      <c r="C769" t="s">
        <v>26</v>
      </c>
      <c r="D769" t="s">
        <v>50</v>
      </c>
      <c r="E769" t="s">
        <v>1074</v>
      </c>
      <c r="F769" t="s">
        <v>2938</v>
      </c>
      <c r="G769" s="2" t="s">
        <v>2939</v>
      </c>
      <c r="H769" t="s">
        <v>18</v>
      </c>
      <c r="I769" t="s">
        <v>404</v>
      </c>
      <c r="J769" t="s">
        <v>405</v>
      </c>
      <c r="K769" t="s">
        <v>930</v>
      </c>
      <c r="L769" t="s">
        <v>930</v>
      </c>
      <c r="M769" t="s">
        <v>406</v>
      </c>
      <c r="N769" t="s">
        <v>55</v>
      </c>
      <c r="O769" t="s">
        <v>33</v>
      </c>
      <c r="P769" t="s">
        <v>34</v>
      </c>
      <c r="Q769">
        <v>1</v>
      </c>
      <c r="R769">
        <v>0</v>
      </c>
      <c r="S769" s="2" t="str">
        <f>IFERROR(VLOOKUP(C769,Sheet2!B:E,4,0),C769)</f>
        <v>一般产品</v>
      </c>
    </row>
    <row r="770" spans="1:19" x14ac:dyDescent="0.2">
      <c r="A770" t="s">
        <v>2940</v>
      </c>
      <c r="B770">
        <v>2299</v>
      </c>
      <c r="C770" t="s">
        <v>575</v>
      </c>
      <c r="D770" t="s">
        <v>971</v>
      </c>
      <c r="E770" t="s">
        <v>2941</v>
      </c>
      <c r="F770" t="s">
        <v>246</v>
      </c>
      <c r="G770" s="2" t="s">
        <v>247</v>
      </c>
      <c r="H770" t="s">
        <v>18</v>
      </c>
      <c r="I770" t="s">
        <v>248</v>
      </c>
      <c r="J770" t="s">
        <v>249</v>
      </c>
      <c r="K770" t="s">
        <v>930</v>
      </c>
      <c r="L770" t="s">
        <v>930</v>
      </c>
      <c r="M770" t="s">
        <v>1049</v>
      </c>
      <c r="N770" t="s">
        <v>73</v>
      </c>
      <c r="O770" t="s">
        <v>24</v>
      </c>
      <c r="P770" t="s">
        <v>25</v>
      </c>
      <c r="Q770">
        <v>1</v>
      </c>
      <c r="R770">
        <v>0</v>
      </c>
      <c r="S770" s="2" t="str">
        <f>IFERROR(VLOOKUP(C770,Sheet2!B:E,4,0),C770)</f>
        <v>优惠产品</v>
      </c>
    </row>
    <row r="771" spans="1:19" x14ac:dyDescent="0.2">
      <c r="A771" t="s">
        <v>2942</v>
      </c>
      <c r="B771">
        <v>2400</v>
      </c>
      <c r="C771" t="s">
        <v>26</v>
      </c>
      <c r="D771" t="s">
        <v>50</v>
      </c>
      <c r="E771" t="s">
        <v>2943</v>
      </c>
      <c r="F771" t="s">
        <v>1165</v>
      </c>
      <c r="G771" s="2" t="s">
        <v>1166</v>
      </c>
      <c r="H771" t="s">
        <v>18</v>
      </c>
      <c r="I771" t="s">
        <v>221</v>
      </c>
      <c r="J771" t="s">
        <v>222</v>
      </c>
      <c r="K771" t="s">
        <v>930</v>
      </c>
      <c r="L771" t="s">
        <v>930</v>
      </c>
      <c r="M771" t="s">
        <v>223</v>
      </c>
      <c r="N771" t="s">
        <v>55</v>
      </c>
      <c r="O771" t="s">
        <v>33</v>
      </c>
      <c r="P771" t="s">
        <v>34</v>
      </c>
      <c r="Q771">
        <v>1</v>
      </c>
      <c r="R771">
        <v>0</v>
      </c>
      <c r="S771" s="2" t="str">
        <f>IFERROR(VLOOKUP(C771,Sheet2!B:E,4,0),C771)</f>
        <v>一般产品</v>
      </c>
    </row>
    <row r="772" spans="1:19" x14ac:dyDescent="0.2">
      <c r="A772" t="s">
        <v>2944</v>
      </c>
      <c r="B772">
        <v>3000</v>
      </c>
      <c r="C772" t="s">
        <v>26</v>
      </c>
      <c r="D772" t="s">
        <v>50</v>
      </c>
      <c r="E772" t="s">
        <v>1197</v>
      </c>
      <c r="F772" t="s">
        <v>1514</v>
      </c>
      <c r="G772" s="2" t="s">
        <v>1515</v>
      </c>
      <c r="H772" t="s">
        <v>28</v>
      </c>
      <c r="I772" t="s">
        <v>107</v>
      </c>
      <c r="J772" t="s">
        <v>1046</v>
      </c>
      <c r="K772" t="s">
        <v>930</v>
      </c>
      <c r="L772" t="s">
        <v>930</v>
      </c>
      <c r="M772" t="s">
        <v>1047</v>
      </c>
      <c r="N772" t="s">
        <v>108</v>
      </c>
      <c r="O772" t="s">
        <v>33</v>
      </c>
      <c r="P772" t="s">
        <v>34</v>
      </c>
      <c r="Q772">
        <v>1</v>
      </c>
      <c r="R772">
        <v>0</v>
      </c>
      <c r="S772" s="2" t="str">
        <f>IFERROR(VLOOKUP(C772,Sheet2!B:E,4,0),C772)</f>
        <v>一般产品</v>
      </c>
    </row>
    <row r="773" spans="1:19" x14ac:dyDescent="0.2">
      <c r="A773" t="s">
        <v>2945</v>
      </c>
      <c r="B773">
        <v>2998</v>
      </c>
      <c r="C773" t="s">
        <v>26</v>
      </c>
      <c r="D773" t="s">
        <v>971</v>
      </c>
      <c r="E773" t="s">
        <v>2946</v>
      </c>
      <c r="F773" t="s">
        <v>1900</v>
      </c>
      <c r="G773" s="2" t="s">
        <v>1901</v>
      </c>
      <c r="H773" t="s">
        <v>18</v>
      </c>
      <c r="I773" t="s">
        <v>179</v>
      </c>
      <c r="J773" t="s">
        <v>180</v>
      </c>
      <c r="K773" t="s">
        <v>930</v>
      </c>
      <c r="L773" t="s">
        <v>930</v>
      </c>
      <c r="M773" t="s">
        <v>181</v>
      </c>
      <c r="N773" t="s">
        <v>38</v>
      </c>
      <c r="O773" t="s">
        <v>39</v>
      </c>
      <c r="P773" t="s">
        <v>25</v>
      </c>
      <c r="Q773">
        <v>1</v>
      </c>
      <c r="R773">
        <v>0</v>
      </c>
      <c r="S773" s="2" t="str">
        <f>IFERROR(VLOOKUP(C773,Sheet2!B:E,4,0),C773)</f>
        <v>一般产品</v>
      </c>
    </row>
    <row r="774" spans="1:19" x14ac:dyDescent="0.2">
      <c r="A774" t="s">
        <v>2947</v>
      </c>
      <c r="B774">
        <v>3388</v>
      </c>
      <c r="C774" t="s">
        <v>575</v>
      </c>
      <c r="D774" t="s">
        <v>971</v>
      </c>
      <c r="E774" t="s">
        <v>2948</v>
      </c>
      <c r="F774" t="s">
        <v>633</v>
      </c>
      <c r="G774" s="2" t="s">
        <v>634</v>
      </c>
      <c r="H774" t="s">
        <v>18</v>
      </c>
      <c r="I774" t="s">
        <v>133</v>
      </c>
      <c r="J774" t="s">
        <v>134</v>
      </c>
      <c r="K774" t="s">
        <v>930</v>
      </c>
      <c r="L774" t="s">
        <v>930</v>
      </c>
      <c r="M774" t="s">
        <v>135</v>
      </c>
      <c r="N774" t="s">
        <v>73</v>
      </c>
      <c r="O774" t="s">
        <v>24</v>
      </c>
      <c r="P774" t="s">
        <v>25</v>
      </c>
      <c r="Q774">
        <v>1</v>
      </c>
      <c r="R774">
        <v>0</v>
      </c>
      <c r="S774" s="2" t="str">
        <f>IFERROR(VLOOKUP(C774,Sheet2!B:E,4,0),C774)</f>
        <v>优惠产品</v>
      </c>
    </row>
    <row r="775" spans="1:19" x14ac:dyDescent="0.2">
      <c r="A775" t="s">
        <v>2949</v>
      </c>
      <c r="B775">
        <v>4000</v>
      </c>
      <c r="C775" t="s">
        <v>26</v>
      </c>
      <c r="D775" t="s">
        <v>50</v>
      </c>
      <c r="E775" t="s">
        <v>416</v>
      </c>
      <c r="F775" t="s">
        <v>544</v>
      </c>
      <c r="G775" s="2" t="s">
        <v>545</v>
      </c>
      <c r="H775" t="s">
        <v>28</v>
      </c>
      <c r="I775" t="s">
        <v>159</v>
      </c>
      <c r="J775" t="s">
        <v>160</v>
      </c>
      <c r="K775" t="s">
        <v>930</v>
      </c>
      <c r="L775" t="s">
        <v>930</v>
      </c>
      <c r="M775" t="s">
        <v>161</v>
      </c>
      <c r="N775" t="s">
        <v>55</v>
      </c>
      <c r="O775" t="s">
        <v>33</v>
      </c>
      <c r="P775" t="s">
        <v>34</v>
      </c>
      <c r="Q775">
        <v>1</v>
      </c>
      <c r="R775">
        <v>0</v>
      </c>
      <c r="S775" s="2" t="str">
        <f>IFERROR(VLOOKUP(C775,Sheet2!B:E,4,0),C775)</f>
        <v>一般产品</v>
      </c>
    </row>
    <row r="776" spans="1:19" x14ac:dyDescent="0.2">
      <c r="A776" t="s">
        <v>2950</v>
      </c>
      <c r="B776">
        <v>2798</v>
      </c>
      <c r="C776" t="s">
        <v>575</v>
      </c>
      <c r="D776" t="s">
        <v>50</v>
      </c>
      <c r="E776" t="s">
        <v>2951</v>
      </c>
      <c r="F776" t="s">
        <v>2763</v>
      </c>
      <c r="G776" s="2" t="s">
        <v>2764</v>
      </c>
      <c r="H776" t="s">
        <v>18</v>
      </c>
      <c r="I776" t="s">
        <v>930</v>
      </c>
      <c r="J776" t="s">
        <v>930</v>
      </c>
      <c r="K776" t="s">
        <v>414</v>
      </c>
      <c r="L776" t="s">
        <v>930</v>
      </c>
      <c r="M776" t="s">
        <v>415</v>
      </c>
      <c r="N776" t="s">
        <v>114</v>
      </c>
      <c r="O776" t="s">
        <v>24</v>
      </c>
      <c r="P776" t="s">
        <v>25</v>
      </c>
      <c r="Q776">
        <v>1</v>
      </c>
      <c r="R776">
        <v>0</v>
      </c>
      <c r="S776" s="2" t="str">
        <f>IFERROR(VLOOKUP(C776,Sheet2!B:E,4,0),C776)</f>
        <v>优惠产品</v>
      </c>
    </row>
    <row r="777" spans="1:19" x14ac:dyDescent="0.2">
      <c r="A777" t="s">
        <v>2952</v>
      </c>
      <c r="B777">
        <v>1800</v>
      </c>
      <c r="C777" t="s">
        <v>26</v>
      </c>
      <c r="D777" t="s">
        <v>50</v>
      </c>
      <c r="E777" t="s">
        <v>1158</v>
      </c>
      <c r="F777" t="s">
        <v>626</v>
      </c>
      <c r="G777" s="2" t="s">
        <v>627</v>
      </c>
      <c r="H777" t="s">
        <v>18</v>
      </c>
      <c r="I777" t="s">
        <v>107</v>
      </c>
      <c r="J777" t="s">
        <v>1046</v>
      </c>
      <c r="K777" t="s">
        <v>930</v>
      </c>
      <c r="L777" t="s">
        <v>930</v>
      </c>
      <c r="M777" t="s">
        <v>1047</v>
      </c>
      <c r="N777" t="s">
        <v>108</v>
      </c>
      <c r="O777" t="s">
        <v>33</v>
      </c>
      <c r="P777" t="s">
        <v>34</v>
      </c>
      <c r="Q777">
        <v>1</v>
      </c>
      <c r="R777">
        <v>0</v>
      </c>
      <c r="S777" s="2" t="str">
        <f>IFERROR(VLOOKUP(C777,Sheet2!B:E,4,0),C777)</f>
        <v>一般产品</v>
      </c>
    </row>
    <row r="778" spans="1:19" x14ac:dyDescent="0.2">
      <c r="A778" t="s">
        <v>2953</v>
      </c>
      <c r="B778">
        <v>3998</v>
      </c>
      <c r="C778" t="s">
        <v>575</v>
      </c>
      <c r="D778" t="s">
        <v>2257</v>
      </c>
      <c r="E778" t="s">
        <v>1687</v>
      </c>
      <c r="F778" t="s">
        <v>433</v>
      </c>
      <c r="G778" s="2" t="s">
        <v>434</v>
      </c>
      <c r="H778" t="s">
        <v>18</v>
      </c>
      <c r="I778" t="s">
        <v>139</v>
      </c>
      <c r="J778" t="s">
        <v>140</v>
      </c>
      <c r="K778" t="s">
        <v>930</v>
      </c>
      <c r="L778" t="s">
        <v>930</v>
      </c>
      <c r="M778" t="s">
        <v>141</v>
      </c>
      <c r="N778" t="s">
        <v>136</v>
      </c>
      <c r="O778" t="s">
        <v>95</v>
      </c>
      <c r="P778" t="s">
        <v>90</v>
      </c>
      <c r="Q778">
        <v>1</v>
      </c>
      <c r="R778">
        <v>0</v>
      </c>
      <c r="S778" s="2" t="str">
        <f>IFERROR(VLOOKUP(C778,Sheet2!B:E,4,0),C778)</f>
        <v>优惠产品</v>
      </c>
    </row>
    <row r="779" spans="1:19" x14ac:dyDescent="0.2">
      <c r="A779" t="s">
        <v>2954</v>
      </c>
      <c r="B779">
        <v>1399</v>
      </c>
      <c r="C779" t="s">
        <v>26</v>
      </c>
      <c r="D779" t="s">
        <v>50</v>
      </c>
      <c r="E779" t="s">
        <v>321</v>
      </c>
      <c r="F779" t="s">
        <v>411</v>
      </c>
      <c r="G779" s="2" t="s">
        <v>412</v>
      </c>
      <c r="H779" t="s">
        <v>28</v>
      </c>
      <c r="I779" t="s">
        <v>164</v>
      </c>
      <c r="J779" t="s">
        <v>165</v>
      </c>
      <c r="K779" t="s">
        <v>930</v>
      </c>
      <c r="L779" t="s">
        <v>930</v>
      </c>
      <c r="M779" t="s">
        <v>166</v>
      </c>
      <c r="N779" t="s">
        <v>55</v>
      </c>
      <c r="O779" t="s">
        <v>33</v>
      </c>
      <c r="P779" t="s">
        <v>34</v>
      </c>
      <c r="Q779">
        <v>1</v>
      </c>
      <c r="R779">
        <v>0</v>
      </c>
      <c r="S779" s="2" t="str">
        <f>IFERROR(VLOOKUP(C779,Sheet2!B:E,4,0),C779)</f>
        <v>一般产品</v>
      </c>
    </row>
    <row r="780" spans="1:19" x14ac:dyDescent="0.2">
      <c r="A780" t="s">
        <v>2955</v>
      </c>
      <c r="B780">
        <v>3000</v>
      </c>
      <c r="C780" t="s">
        <v>26</v>
      </c>
      <c r="D780" t="s">
        <v>2257</v>
      </c>
      <c r="E780" t="s">
        <v>2956</v>
      </c>
      <c r="F780" t="s">
        <v>819</v>
      </c>
      <c r="G780" s="2" t="s">
        <v>820</v>
      </c>
      <c r="H780" t="s">
        <v>18</v>
      </c>
      <c r="I780" t="s">
        <v>930</v>
      </c>
      <c r="J780" t="s">
        <v>930</v>
      </c>
      <c r="K780" t="s">
        <v>163</v>
      </c>
      <c r="L780" t="s">
        <v>930</v>
      </c>
      <c r="M780" t="s">
        <v>931</v>
      </c>
      <c r="N780" t="s">
        <v>68</v>
      </c>
      <c r="O780" t="s">
        <v>33</v>
      </c>
      <c r="P780" t="s">
        <v>34</v>
      </c>
      <c r="Q780">
        <v>1</v>
      </c>
      <c r="R780">
        <v>0</v>
      </c>
      <c r="S780" s="2" t="str">
        <f>IFERROR(VLOOKUP(C780,Sheet2!B:E,4,0),C780)</f>
        <v>一般产品</v>
      </c>
    </row>
    <row r="781" spans="1:19" x14ac:dyDescent="0.2">
      <c r="A781" t="s">
        <v>2957</v>
      </c>
      <c r="B781">
        <v>4000</v>
      </c>
      <c r="C781" t="s">
        <v>26</v>
      </c>
      <c r="D781" t="s">
        <v>50</v>
      </c>
      <c r="E781" t="s">
        <v>2958</v>
      </c>
      <c r="F781" t="s">
        <v>752</v>
      </c>
      <c r="G781" s="2" t="s">
        <v>753</v>
      </c>
      <c r="H781" t="s">
        <v>18</v>
      </c>
      <c r="I781" t="s">
        <v>107</v>
      </c>
      <c r="J781" t="s">
        <v>1046</v>
      </c>
      <c r="K781" t="s">
        <v>930</v>
      </c>
      <c r="L781" t="s">
        <v>930</v>
      </c>
      <c r="M781" t="s">
        <v>1047</v>
      </c>
      <c r="N781" t="s">
        <v>108</v>
      </c>
      <c r="O781" t="s">
        <v>33</v>
      </c>
      <c r="P781" t="s">
        <v>34</v>
      </c>
      <c r="Q781">
        <v>1</v>
      </c>
      <c r="R781">
        <v>0</v>
      </c>
      <c r="S781" s="2" t="str">
        <f>IFERROR(VLOOKUP(C781,Sheet2!B:E,4,0),C781)</f>
        <v>一般产品</v>
      </c>
    </row>
    <row r="782" spans="1:19" x14ac:dyDescent="0.2">
      <c r="A782" t="s">
        <v>2959</v>
      </c>
      <c r="B782">
        <v>2899</v>
      </c>
      <c r="C782" t="s">
        <v>589</v>
      </c>
      <c r="D782" t="s">
        <v>726</v>
      </c>
      <c r="E782" t="s">
        <v>2960</v>
      </c>
      <c r="F782" t="s">
        <v>1232</v>
      </c>
      <c r="G782" s="2" t="s">
        <v>1233</v>
      </c>
      <c r="H782" t="s">
        <v>18</v>
      </c>
      <c r="I782" t="s">
        <v>242</v>
      </c>
      <c r="J782" t="s">
        <v>243</v>
      </c>
      <c r="K782" t="s">
        <v>930</v>
      </c>
      <c r="L782" t="s">
        <v>930</v>
      </c>
      <c r="M782" t="s">
        <v>244</v>
      </c>
      <c r="N782" t="s">
        <v>46</v>
      </c>
      <c r="O782" t="s">
        <v>63</v>
      </c>
      <c r="P782" t="s">
        <v>34</v>
      </c>
      <c r="Q782">
        <v>1</v>
      </c>
      <c r="R782">
        <v>0</v>
      </c>
      <c r="S782" s="2" t="str">
        <f>IFERROR(VLOOKUP(C782,Sheet2!B:E,4,0),C782)</f>
        <v>优惠产品</v>
      </c>
    </row>
    <row r="783" spans="1:19" x14ac:dyDescent="0.2">
      <c r="A783" t="s">
        <v>2961</v>
      </c>
      <c r="B783">
        <v>3000</v>
      </c>
      <c r="C783" t="s">
        <v>26</v>
      </c>
      <c r="D783" t="s">
        <v>50</v>
      </c>
      <c r="E783" t="s">
        <v>995</v>
      </c>
      <c r="F783" t="s">
        <v>689</v>
      </c>
      <c r="G783" s="2" t="s">
        <v>690</v>
      </c>
      <c r="H783" t="s">
        <v>18</v>
      </c>
      <c r="I783" t="s">
        <v>121</v>
      </c>
      <c r="J783" t="s">
        <v>122</v>
      </c>
      <c r="K783" t="s">
        <v>930</v>
      </c>
      <c r="L783" t="s">
        <v>930</v>
      </c>
      <c r="M783" t="s">
        <v>123</v>
      </c>
      <c r="N783" t="s">
        <v>55</v>
      </c>
      <c r="O783" t="s">
        <v>33</v>
      </c>
      <c r="P783" t="s">
        <v>34</v>
      </c>
      <c r="Q783">
        <v>1</v>
      </c>
      <c r="R783">
        <v>0</v>
      </c>
      <c r="S783" s="2" t="str">
        <f>IFERROR(VLOOKUP(C783,Sheet2!B:E,4,0),C783)</f>
        <v>一般产品</v>
      </c>
    </row>
    <row r="784" spans="1:19" x14ac:dyDescent="0.2">
      <c r="A784" t="s">
        <v>2962</v>
      </c>
      <c r="B784">
        <v>3598</v>
      </c>
      <c r="C784" t="s">
        <v>26</v>
      </c>
      <c r="D784" t="s">
        <v>970</v>
      </c>
      <c r="E784" t="s">
        <v>2963</v>
      </c>
      <c r="F784" t="s">
        <v>2964</v>
      </c>
      <c r="G784" s="2" t="s">
        <v>2965</v>
      </c>
      <c r="H784" t="s">
        <v>18</v>
      </c>
      <c r="I784" t="s">
        <v>401</v>
      </c>
      <c r="J784" t="s">
        <v>402</v>
      </c>
      <c r="K784" t="s">
        <v>930</v>
      </c>
      <c r="L784" t="s">
        <v>930</v>
      </c>
      <c r="M784" t="s">
        <v>403</v>
      </c>
      <c r="N784" t="s">
        <v>68</v>
      </c>
      <c r="O784" t="s">
        <v>33</v>
      </c>
      <c r="P784" t="s">
        <v>34</v>
      </c>
      <c r="Q784">
        <v>1</v>
      </c>
      <c r="R784">
        <v>0</v>
      </c>
      <c r="S784" s="2" t="str">
        <f>IFERROR(VLOOKUP(C784,Sheet2!B:E,4,0),C784)</f>
        <v>一般产品</v>
      </c>
    </row>
    <row r="785" spans="1:19" x14ac:dyDescent="0.2">
      <c r="A785" t="s">
        <v>2966</v>
      </c>
      <c r="B785">
        <v>2998</v>
      </c>
      <c r="C785" t="s">
        <v>26</v>
      </c>
      <c r="D785" t="s">
        <v>970</v>
      </c>
      <c r="E785" t="s">
        <v>2967</v>
      </c>
      <c r="F785" t="s">
        <v>1319</v>
      </c>
      <c r="G785" s="2" t="s">
        <v>1320</v>
      </c>
      <c r="H785" t="s">
        <v>18</v>
      </c>
      <c r="I785" t="s">
        <v>930</v>
      </c>
      <c r="J785" t="s">
        <v>930</v>
      </c>
      <c r="K785" t="s">
        <v>930</v>
      </c>
      <c r="L785" t="s">
        <v>930</v>
      </c>
      <c r="M785" t="s">
        <v>60</v>
      </c>
      <c r="N785" t="s">
        <v>61</v>
      </c>
      <c r="O785" t="s">
        <v>39</v>
      </c>
      <c r="P785" t="s">
        <v>25</v>
      </c>
      <c r="Q785">
        <v>1</v>
      </c>
      <c r="R785">
        <v>0</v>
      </c>
      <c r="S785" s="2" t="str">
        <f>IFERROR(VLOOKUP(C785,Sheet2!B:E,4,0),C785)</f>
        <v>一般产品</v>
      </c>
    </row>
    <row r="786" spans="1:19" x14ac:dyDescent="0.2">
      <c r="A786" t="s">
        <v>2968</v>
      </c>
      <c r="B786">
        <v>2998</v>
      </c>
      <c r="C786" t="s">
        <v>26</v>
      </c>
      <c r="D786" t="s">
        <v>970</v>
      </c>
      <c r="E786" t="s">
        <v>1511</v>
      </c>
      <c r="F786" t="s">
        <v>2147</v>
      </c>
      <c r="G786" s="2" t="s">
        <v>2148</v>
      </c>
      <c r="H786" t="s">
        <v>18</v>
      </c>
      <c r="I786" t="s">
        <v>930</v>
      </c>
      <c r="J786" t="s">
        <v>930</v>
      </c>
      <c r="K786" t="s">
        <v>347</v>
      </c>
      <c r="L786" t="s">
        <v>930</v>
      </c>
      <c r="M786" t="s">
        <v>348</v>
      </c>
      <c r="N786" t="s">
        <v>61</v>
      </c>
      <c r="O786" t="s">
        <v>39</v>
      </c>
      <c r="P786" t="s">
        <v>25</v>
      </c>
      <c r="Q786">
        <v>1</v>
      </c>
      <c r="R786">
        <v>0</v>
      </c>
      <c r="S786" s="2" t="str">
        <f>IFERROR(VLOOKUP(C786,Sheet2!B:E,4,0),C786)</f>
        <v>一般产品</v>
      </c>
    </row>
    <row r="787" spans="1:19" x14ac:dyDescent="0.2">
      <c r="A787" t="s">
        <v>2969</v>
      </c>
      <c r="B787">
        <v>2999</v>
      </c>
      <c r="C787" t="s">
        <v>26</v>
      </c>
      <c r="D787" t="s">
        <v>970</v>
      </c>
      <c r="E787" t="s">
        <v>2970</v>
      </c>
      <c r="F787" t="s">
        <v>1900</v>
      </c>
      <c r="G787" s="2" t="s">
        <v>1901</v>
      </c>
      <c r="H787" t="s">
        <v>18</v>
      </c>
      <c r="I787" t="s">
        <v>179</v>
      </c>
      <c r="J787" t="s">
        <v>180</v>
      </c>
      <c r="K787" t="s">
        <v>930</v>
      </c>
      <c r="L787" t="s">
        <v>930</v>
      </c>
      <c r="M787" t="s">
        <v>181</v>
      </c>
      <c r="N787" t="s">
        <v>38</v>
      </c>
      <c r="O787" t="s">
        <v>39</v>
      </c>
      <c r="P787" t="s">
        <v>25</v>
      </c>
      <c r="Q787">
        <v>1</v>
      </c>
      <c r="R787">
        <v>0</v>
      </c>
      <c r="S787" s="2" t="str">
        <f>IFERROR(VLOOKUP(C787,Sheet2!B:E,4,0),C787)</f>
        <v>一般产品</v>
      </c>
    </row>
    <row r="788" spans="1:19" x14ac:dyDescent="0.2">
      <c r="A788" t="s">
        <v>2971</v>
      </c>
      <c r="B788">
        <v>2600</v>
      </c>
      <c r="C788" t="s">
        <v>26</v>
      </c>
      <c r="D788" t="s">
        <v>50</v>
      </c>
      <c r="E788" t="s">
        <v>2972</v>
      </c>
      <c r="F788" t="s">
        <v>1495</v>
      </c>
      <c r="G788" s="2" t="s">
        <v>1496</v>
      </c>
      <c r="H788" t="s">
        <v>28</v>
      </c>
      <c r="I788" t="s">
        <v>930</v>
      </c>
      <c r="J788" t="s">
        <v>930</v>
      </c>
      <c r="K788" t="s">
        <v>79</v>
      </c>
      <c r="L788" t="s">
        <v>930</v>
      </c>
      <c r="M788" t="s">
        <v>80</v>
      </c>
      <c r="N788" t="s">
        <v>51</v>
      </c>
      <c r="O788" t="s">
        <v>33</v>
      </c>
      <c r="P788" t="s">
        <v>34</v>
      </c>
      <c r="Q788">
        <v>1</v>
      </c>
      <c r="R788">
        <v>0</v>
      </c>
      <c r="S788" s="2" t="str">
        <f>IFERROR(VLOOKUP(C788,Sheet2!B:E,4,0),C788)</f>
        <v>一般产品</v>
      </c>
    </row>
    <row r="789" spans="1:19" x14ac:dyDescent="0.2">
      <c r="A789" t="s">
        <v>2973</v>
      </c>
      <c r="B789">
        <v>1400</v>
      </c>
      <c r="C789" t="s">
        <v>26</v>
      </c>
      <c r="D789" t="s">
        <v>50</v>
      </c>
      <c r="E789" t="s">
        <v>1146</v>
      </c>
      <c r="F789" t="s">
        <v>2938</v>
      </c>
      <c r="G789" s="2" t="s">
        <v>2939</v>
      </c>
      <c r="H789" t="s">
        <v>18</v>
      </c>
      <c r="I789" t="s">
        <v>404</v>
      </c>
      <c r="J789" t="s">
        <v>405</v>
      </c>
      <c r="K789" t="s">
        <v>930</v>
      </c>
      <c r="L789" t="s">
        <v>930</v>
      </c>
      <c r="M789" t="s">
        <v>406</v>
      </c>
      <c r="N789" t="s">
        <v>55</v>
      </c>
      <c r="O789" t="s">
        <v>33</v>
      </c>
      <c r="P789" t="s">
        <v>34</v>
      </c>
      <c r="Q789">
        <v>1</v>
      </c>
      <c r="R789">
        <v>0</v>
      </c>
      <c r="S789" s="2" t="str">
        <f>IFERROR(VLOOKUP(C789,Sheet2!B:E,4,0),C789)</f>
        <v>一般产品</v>
      </c>
    </row>
    <row r="790" spans="1:19" x14ac:dyDescent="0.2">
      <c r="A790" t="s">
        <v>2974</v>
      </c>
      <c r="B790">
        <v>2498</v>
      </c>
      <c r="C790" t="s">
        <v>589</v>
      </c>
      <c r="D790" t="s">
        <v>50</v>
      </c>
      <c r="E790" t="s">
        <v>951</v>
      </c>
      <c r="F790" t="s">
        <v>984</v>
      </c>
      <c r="G790" s="2" t="s">
        <v>985</v>
      </c>
      <c r="H790" t="s">
        <v>28</v>
      </c>
      <c r="I790" t="s">
        <v>143</v>
      </c>
      <c r="J790" t="s">
        <v>144</v>
      </c>
      <c r="K790" t="s">
        <v>930</v>
      </c>
      <c r="L790" t="s">
        <v>930</v>
      </c>
      <c r="M790" t="s">
        <v>145</v>
      </c>
      <c r="N790" t="s">
        <v>146</v>
      </c>
      <c r="O790" t="s">
        <v>33</v>
      </c>
      <c r="P790" t="s">
        <v>34</v>
      </c>
      <c r="Q790">
        <v>1</v>
      </c>
      <c r="R790">
        <v>0</v>
      </c>
      <c r="S790" s="2" t="str">
        <f>IFERROR(VLOOKUP(C790,Sheet2!B:E,4,0),C790)</f>
        <v>优惠产品</v>
      </c>
    </row>
    <row r="791" spans="1:19" x14ac:dyDescent="0.2">
      <c r="A791" t="s">
        <v>2975</v>
      </c>
      <c r="B791">
        <v>3300</v>
      </c>
      <c r="C791" t="s">
        <v>26</v>
      </c>
      <c r="D791" t="s">
        <v>2257</v>
      </c>
      <c r="E791" t="s">
        <v>529</v>
      </c>
      <c r="F791" t="s">
        <v>2010</v>
      </c>
      <c r="G791" s="2" t="s">
        <v>2011</v>
      </c>
      <c r="H791" t="s">
        <v>18</v>
      </c>
      <c r="I791" t="s">
        <v>930</v>
      </c>
      <c r="J791" t="s">
        <v>930</v>
      </c>
      <c r="K791" t="s">
        <v>693</v>
      </c>
      <c r="L791" t="s">
        <v>930</v>
      </c>
      <c r="M791" t="s">
        <v>1050</v>
      </c>
      <c r="N791" t="s">
        <v>68</v>
      </c>
      <c r="O791" t="s">
        <v>33</v>
      </c>
      <c r="P791" t="s">
        <v>34</v>
      </c>
      <c r="Q791">
        <v>1</v>
      </c>
      <c r="R791">
        <v>0</v>
      </c>
      <c r="S791" s="2" t="str">
        <f>IFERROR(VLOOKUP(C791,Sheet2!B:E,4,0),C791)</f>
        <v>一般产品</v>
      </c>
    </row>
    <row r="792" spans="1:19" x14ac:dyDescent="0.2">
      <c r="A792" t="s">
        <v>2976</v>
      </c>
      <c r="B792">
        <v>2599</v>
      </c>
      <c r="C792" t="s">
        <v>26</v>
      </c>
      <c r="D792" t="s">
        <v>2257</v>
      </c>
      <c r="E792" t="s">
        <v>523</v>
      </c>
      <c r="F792" t="s">
        <v>2242</v>
      </c>
      <c r="G792" s="2" t="s">
        <v>2243</v>
      </c>
      <c r="H792" t="s">
        <v>18</v>
      </c>
      <c r="I792" t="s">
        <v>81</v>
      </c>
      <c r="J792" t="s">
        <v>1230</v>
      </c>
      <c r="K792" t="s">
        <v>930</v>
      </c>
      <c r="L792" t="s">
        <v>930</v>
      </c>
      <c r="M792" t="s">
        <v>1231</v>
      </c>
      <c r="N792" t="s">
        <v>68</v>
      </c>
      <c r="O792" t="s">
        <v>33</v>
      </c>
      <c r="P792" t="s">
        <v>34</v>
      </c>
      <c r="Q792">
        <v>1</v>
      </c>
      <c r="R792">
        <v>0</v>
      </c>
      <c r="S792" s="2" t="str">
        <f>IFERROR(VLOOKUP(C792,Sheet2!B:E,4,0),C792)</f>
        <v>一般产品</v>
      </c>
    </row>
    <row r="793" spans="1:19" x14ac:dyDescent="0.2">
      <c r="A793" t="s">
        <v>2977</v>
      </c>
      <c r="B793">
        <v>4500</v>
      </c>
      <c r="C793" t="s">
        <v>575</v>
      </c>
      <c r="D793" t="s">
        <v>971</v>
      </c>
      <c r="E793" t="s">
        <v>1632</v>
      </c>
      <c r="F793" t="s">
        <v>1633</v>
      </c>
      <c r="G793" s="2" t="s">
        <v>1634</v>
      </c>
      <c r="H793" t="s">
        <v>18</v>
      </c>
      <c r="I793" t="s">
        <v>211</v>
      </c>
      <c r="J793" t="s">
        <v>212</v>
      </c>
      <c r="K793" t="s">
        <v>930</v>
      </c>
      <c r="L793" t="s">
        <v>930</v>
      </c>
      <c r="M793" t="s">
        <v>213</v>
      </c>
      <c r="N793" t="s">
        <v>73</v>
      </c>
      <c r="O793" t="s">
        <v>24</v>
      </c>
      <c r="P793" t="s">
        <v>25</v>
      </c>
      <c r="Q793">
        <v>1</v>
      </c>
      <c r="R793">
        <v>0</v>
      </c>
      <c r="S793" s="2" t="str">
        <f>IFERROR(VLOOKUP(C793,Sheet2!B:E,4,0),C793)</f>
        <v>优惠产品</v>
      </c>
    </row>
    <row r="794" spans="1:19" x14ac:dyDescent="0.2">
      <c r="A794" t="s">
        <v>2978</v>
      </c>
      <c r="B794">
        <v>4000</v>
      </c>
      <c r="C794" t="s">
        <v>26</v>
      </c>
      <c r="D794" t="s">
        <v>50</v>
      </c>
      <c r="E794" t="s">
        <v>1463</v>
      </c>
      <c r="F794" t="s">
        <v>2979</v>
      </c>
      <c r="G794" s="2" t="s">
        <v>2980</v>
      </c>
      <c r="H794" t="s">
        <v>18</v>
      </c>
      <c r="I794" t="s">
        <v>130</v>
      </c>
      <c r="J794" t="s">
        <v>131</v>
      </c>
      <c r="K794" t="s">
        <v>930</v>
      </c>
      <c r="L794" t="s">
        <v>930</v>
      </c>
      <c r="M794" t="s">
        <v>132</v>
      </c>
      <c r="N794" t="s">
        <v>51</v>
      </c>
      <c r="O794" t="s">
        <v>33</v>
      </c>
      <c r="P794" t="s">
        <v>34</v>
      </c>
      <c r="Q794">
        <v>1</v>
      </c>
      <c r="R794">
        <v>0</v>
      </c>
      <c r="S794" s="2" t="str">
        <f>IFERROR(VLOOKUP(C794,Sheet2!B:E,4,0),C794)</f>
        <v>一般产品</v>
      </c>
    </row>
    <row r="795" spans="1:19" x14ac:dyDescent="0.2">
      <c r="A795" t="s">
        <v>2981</v>
      </c>
      <c r="B795">
        <v>3000</v>
      </c>
      <c r="C795" t="s">
        <v>580</v>
      </c>
      <c r="D795" t="s">
        <v>970</v>
      </c>
      <c r="E795" t="s">
        <v>365</v>
      </c>
      <c r="F795" t="s">
        <v>1459</v>
      </c>
      <c r="G795" s="2" t="s">
        <v>1460</v>
      </c>
      <c r="H795" t="s">
        <v>28</v>
      </c>
      <c r="I795" t="s">
        <v>97</v>
      </c>
      <c r="J795" t="s">
        <v>98</v>
      </c>
      <c r="K795" t="s">
        <v>930</v>
      </c>
      <c r="L795" t="s">
        <v>930</v>
      </c>
      <c r="M795" t="s">
        <v>99</v>
      </c>
      <c r="N795" t="s">
        <v>55</v>
      </c>
      <c r="O795" t="s">
        <v>33</v>
      </c>
      <c r="P795" t="s">
        <v>34</v>
      </c>
      <c r="Q795">
        <v>1</v>
      </c>
      <c r="R795">
        <v>0</v>
      </c>
      <c r="S795" s="2" t="str">
        <f>IFERROR(VLOOKUP(C795,Sheet2!B:E,4,0),C795)</f>
        <v>10期贷</v>
      </c>
    </row>
    <row r="796" spans="1:19" x14ac:dyDescent="0.2">
      <c r="A796" t="s">
        <v>2982</v>
      </c>
      <c r="B796">
        <v>1599</v>
      </c>
      <c r="C796" t="s">
        <v>589</v>
      </c>
      <c r="D796" t="s">
        <v>2257</v>
      </c>
      <c r="E796" t="s">
        <v>2983</v>
      </c>
      <c r="F796" t="s">
        <v>1207</v>
      </c>
      <c r="G796" s="2" t="s">
        <v>1208</v>
      </c>
      <c r="H796" t="s">
        <v>18</v>
      </c>
      <c r="I796" t="s">
        <v>445</v>
      </c>
      <c r="J796" t="s">
        <v>446</v>
      </c>
      <c r="K796" t="s">
        <v>930</v>
      </c>
      <c r="L796" t="s">
        <v>930</v>
      </c>
      <c r="M796" t="s">
        <v>447</v>
      </c>
      <c r="N796" t="s">
        <v>44</v>
      </c>
      <c r="O796" t="s">
        <v>24</v>
      </c>
      <c r="P796" t="s">
        <v>25</v>
      </c>
      <c r="Q796">
        <v>1</v>
      </c>
      <c r="R796">
        <v>0</v>
      </c>
      <c r="S796" s="2" t="str">
        <f>IFERROR(VLOOKUP(C796,Sheet2!B:E,4,0),C796)</f>
        <v>优惠产品</v>
      </c>
    </row>
    <row r="797" spans="1:19" x14ac:dyDescent="0.2">
      <c r="A797" t="s">
        <v>2984</v>
      </c>
      <c r="B797">
        <v>3999</v>
      </c>
      <c r="C797" t="s">
        <v>589</v>
      </c>
      <c r="D797" t="s">
        <v>2257</v>
      </c>
      <c r="E797" t="s">
        <v>2985</v>
      </c>
      <c r="F797" t="s">
        <v>1112</v>
      </c>
      <c r="G797" s="2" t="s">
        <v>1113</v>
      </c>
      <c r="H797" t="s">
        <v>18</v>
      </c>
      <c r="I797" t="s">
        <v>227</v>
      </c>
      <c r="J797" t="s">
        <v>228</v>
      </c>
      <c r="K797" t="s">
        <v>930</v>
      </c>
      <c r="L797" t="s">
        <v>930</v>
      </c>
      <c r="M797" t="s">
        <v>229</v>
      </c>
      <c r="N797" t="s">
        <v>194</v>
      </c>
      <c r="O797" t="s">
        <v>24</v>
      </c>
      <c r="P797" t="s">
        <v>25</v>
      </c>
      <c r="Q797">
        <v>1</v>
      </c>
      <c r="R797">
        <v>0</v>
      </c>
      <c r="S797" s="2" t="str">
        <f>IFERROR(VLOOKUP(C797,Sheet2!B:E,4,0),C797)</f>
        <v>优惠产品</v>
      </c>
    </row>
    <row r="798" spans="1:19" x14ac:dyDescent="0.2">
      <c r="A798" t="s">
        <v>2986</v>
      </c>
      <c r="B798">
        <v>3000</v>
      </c>
      <c r="C798" t="s">
        <v>26</v>
      </c>
      <c r="D798" t="s">
        <v>50</v>
      </c>
      <c r="E798" t="s">
        <v>2987</v>
      </c>
      <c r="F798" t="s">
        <v>2988</v>
      </c>
      <c r="G798" s="2" t="s">
        <v>2989</v>
      </c>
      <c r="H798" t="s">
        <v>18</v>
      </c>
      <c r="I798" t="s">
        <v>375</v>
      </c>
      <c r="J798" t="s">
        <v>376</v>
      </c>
      <c r="K798" t="s">
        <v>930</v>
      </c>
      <c r="L798" t="s">
        <v>930</v>
      </c>
      <c r="M798" t="s">
        <v>377</v>
      </c>
      <c r="N798" t="s">
        <v>47</v>
      </c>
      <c r="O798" t="s">
        <v>33</v>
      </c>
      <c r="P798" t="s">
        <v>34</v>
      </c>
      <c r="Q798">
        <v>1</v>
      </c>
      <c r="R798">
        <v>0</v>
      </c>
      <c r="S798" s="2" t="str">
        <f>IFERROR(VLOOKUP(C798,Sheet2!B:E,4,0),C798)</f>
        <v>一般产品</v>
      </c>
    </row>
    <row r="799" spans="1:19" x14ac:dyDescent="0.2">
      <c r="A799" t="s">
        <v>2990</v>
      </c>
      <c r="B799">
        <v>1799</v>
      </c>
      <c r="C799" t="s">
        <v>589</v>
      </c>
      <c r="D799" t="s">
        <v>50</v>
      </c>
      <c r="E799" t="s">
        <v>2991</v>
      </c>
      <c r="F799" t="s">
        <v>1421</v>
      </c>
      <c r="G799" s="2" t="s">
        <v>1422</v>
      </c>
      <c r="H799" t="s">
        <v>18</v>
      </c>
      <c r="I799" t="s">
        <v>20</v>
      </c>
      <c r="J799" t="s">
        <v>21</v>
      </c>
      <c r="K799" t="s">
        <v>930</v>
      </c>
      <c r="L799" t="s">
        <v>930</v>
      </c>
      <c r="M799" t="s">
        <v>22</v>
      </c>
      <c r="N799" t="s">
        <v>23</v>
      </c>
      <c r="O799" t="s">
        <v>24</v>
      </c>
      <c r="P799" t="s">
        <v>25</v>
      </c>
      <c r="Q799">
        <v>1</v>
      </c>
      <c r="R799">
        <v>0</v>
      </c>
      <c r="S799" s="2" t="str">
        <f>IFERROR(VLOOKUP(C799,Sheet2!B:E,4,0),C799)</f>
        <v>优惠产品</v>
      </c>
    </row>
    <row r="800" spans="1:19" x14ac:dyDescent="0.2">
      <c r="A800" t="s">
        <v>2992</v>
      </c>
      <c r="B800">
        <v>5000</v>
      </c>
      <c r="C800" t="s">
        <v>589</v>
      </c>
      <c r="D800" t="s">
        <v>2257</v>
      </c>
      <c r="E800" t="s">
        <v>2993</v>
      </c>
      <c r="F800" t="s">
        <v>509</v>
      </c>
      <c r="G800" s="2" t="s">
        <v>510</v>
      </c>
      <c r="H800" t="s">
        <v>18</v>
      </c>
      <c r="I800" t="s">
        <v>511</v>
      </c>
      <c r="J800" t="s">
        <v>512</v>
      </c>
      <c r="K800" t="s">
        <v>930</v>
      </c>
      <c r="L800" t="s">
        <v>930</v>
      </c>
      <c r="M800" t="s">
        <v>513</v>
      </c>
      <c r="N800" t="s">
        <v>146</v>
      </c>
      <c r="O800" t="s">
        <v>33</v>
      </c>
      <c r="P800" t="s">
        <v>34</v>
      </c>
      <c r="Q800">
        <v>1</v>
      </c>
      <c r="R800">
        <v>0</v>
      </c>
      <c r="S800" s="2" t="str">
        <f>IFERROR(VLOOKUP(C800,Sheet2!B:E,4,0),C800)</f>
        <v>优惠产品</v>
      </c>
    </row>
    <row r="801" spans="1:19" x14ac:dyDescent="0.2">
      <c r="A801" t="s">
        <v>2994</v>
      </c>
      <c r="B801">
        <v>3000</v>
      </c>
      <c r="C801" t="s">
        <v>26</v>
      </c>
      <c r="D801" t="s">
        <v>726</v>
      </c>
      <c r="E801" t="s">
        <v>2518</v>
      </c>
      <c r="F801" t="s">
        <v>391</v>
      </c>
      <c r="G801" s="2" t="s">
        <v>392</v>
      </c>
      <c r="H801" t="s">
        <v>18</v>
      </c>
      <c r="I801" t="s">
        <v>934</v>
      </c>
      <c r="J801" t="s">
        <v>935</v>
      </c>
      <c r="K801" t="s">
        <v>930</v>
      </c>
      <c r="L801" t="s">
        <v>930</v>
      </c>
      <c r="M801" t="s">
        <v>936</v>
      </c>
      <c r="N801" t="s">
        <v>45</v>
      </c>
      <c r="O801" t="s">
        <v>48</v>
      </c>
      <c r="P801" t="s">
        <v>49</v>
      </c>
      <c r="Q801">
        <v>1</v>
      </c>
      <c r="R801">
        <v>0</v>
      </c>
      <c r="S801" s="2" t="str">
        <f>IFERROR(VLOOKUP(C801,Sheet2!B:E,4,0),C801)</f>
        <v>一般产品</v>
      </c>
    </row>
    <row r="802" spans="1:19" x14ac:dyDescent="0.2">
      <c r="A802" t="s">
        <v>2995</v>
      </c>
      <c r="B802">
        <v>3500</v>
      </c>
      <c r="C802" t="s">
        <v>26</v>
      </c>
      <c r="D802" t="s">
        <v>50</v>
      </c>
      <c r="E802" t="s">
        <v>324</v>
      </c>
      <c r="F802" t="s">
        <v>1084</v>
      </c>
      <c r="G802" s="2" t="s">
        <v>1085</v>
      </c>
      <c r="H802" t="s">
        <v>28</v>
      </c>
      <c r="I802" t="s">
        <v>107</v>
      </c>
      <c r="J802" t="s">
        <v>1046</v>
      </c>
      <c r="K802" t="s">
        <v>930</v>
      </c>
      <c r="L802" t="s">
        <v>930</v>
      </c>
      <c r="M802" t="s">
        <v>1047</v>
      </c>
      <c r="N802" t="s">
        <v>108</v>
      </c>
      <c r="O802" t="s">
        <v>33</v>
      </c>
      <c r="P802" t="s">
        <v>34</v>
      </c>
      <c r="Q802">
        <v>1</v>
      </c>
      <c r="R802">
        <v>0</v>
      </c>
      <c r="S802" s="2" t="str">
        <f>IFERROR(VLOOKUP(C802,Sheet2!B:E,4,0),C802)</f>
        <v>一般产品</v>
      </c>
    </row>
    <row r="803" spans="1:19" x14ac:dyDescent="0.2">
      <c r="A803" t="s">
        <v>2996</v>
      </c>
      <c r="B803">
        <v>1200</v>
      </c>
      <c r="C803" t="s">
        <v>26</v>
      </c>
      <c r="D803" t="s">
        <v>50</v>
      </c>
      <c r="E803" t="s">
        <v>1088</v>
      </c>
      <c r="F803" t="s">
        <v>1028</v>
      </c>
      <c r="G803" s="2" t="s">
        <v>1029</v>
      </c>
      <c r="H803" t="s">
        <v>18</v>
      </c>
      <c r="I803" t="s">
        <v>221</v>
      </c>
      <c r="J803" t="s">
        <v>222</v>
      </c>
      <c r="K803" t="s">
        <v>930</v>
      </c>
      <c r="L803" t="s">
        <v>930</v>
      </c>
      <c r="M803" t="s">
        <v>223</v>
      </c>
      <c r="N803" t="s">
        <v>55</v>
      </c>
      <c r="O803" t="s">
        <v>33</v>
      </c>
      <c r="P803" t="s">
        <v>34</v>
      </c>
      <c r="Q803">
        <v>1</v>
      </c>
      <c r="R803">
        <v>0</v>
      </c>
      <c r="S803" s="2" t="str">
        <f>IFERROR(VLOOKUP(C803,Sheet2!B:E,4,0),C803)</f>
        <v>一般产品</v>
      </c>
    </row>
    <row r="804" spans="1:19" x14ac:dyDescent="0.2">
      <c r="A804" t="s">
        <v>2997</v>
      </c>
      <c r="B804">
        <v>3499</v>
      </c>
      <c r="C804" t="s">
        <v>26</v>
      </c>
      <c r="D804" t="s">
        <v>50</v>
      </c>
      <c r="E804" t="s">
        <v>2998</v>
      </c>
      <c r="F804" t="s">
        <v>2239</v>
      </c>
      <c r="G804" s="2" t="s">
        <v>2240</v>
      </c>
      <c r="H804" t="s">
        <v>18</v>
      </c>
      <c r="I804" t="s">
        <v>40</v>
      </c>
      <c r="J804" t="s">
        <v>41</v>
      </c>
      <c r="K804" t="s">
        <v>930</v>
      </c>
      <c r="L804" t="s">
        <v>930</v>
      </c>
      <c r="M804" t="s">
        <v>42</v>
      </c>
      <c r="N804" t="s">
        <v>43</v>
      </c>
      <c r="O804" t="s">
        <v>24</v>
      </c>
      <c r="P804" t="s">
        <v>25</v>
      </c>
      <c r="Q804">
        <v>1</v>
      </c>
      <c r="R804">
        <v>0</v>
      </c>
      <c r="S804" s="2" t="str">
        <f>IFERROR(VLOOKUP(C804,Sheet2!B:E,4,0),C804)</f>
        <v>一般产品</v>
      </c>
    </row>
    <row r="805" spans="1:19" x14ac:dyDescent="0.2">
      <c r="A805" t="s">
        <v>2999</v>
      </c>
      <c r="B805">
        <v>3500</v>
      </c>
      <c r="C805" t="s">
        <v>26</v>
      </c>
      <c r="D805" t="s">
        <v>50</v>
      </c>
      <c r="E805" t="s">
        <v>96</v>
      </c>
      <c r="F805" t="s">
        <v>1459</v>
      </c>
      <c r="G805" s="2" t="s">
        <v>1460</v>
      </c>
      <c r="H805" t="s">
        <v>28</v>
      </c>
      <c r="I805" t="s">
        <v>97</v>
      </c>
      <c r="J805" t="s">
        <v>98</v>
      </c>
      <c r="K805" t="s">
        <v>930</v>
      </c>
      <c r="L805" t="s">
        <v>930</v>
      </c>
      <c r="M805" t="s">
        <v>99</v>
      </c>
      <c r="N805" t="s">
        <v>55</v>
      </c>
      <c r="O805" t="s">
        <v>33</v>
      </c>
      <c r="P805" t="s">
        <v>34</v>
      </c>
      <c r="Q805">
        <v>1</v>
      </c>
      <c r="R805">
        <v>0</v>
      </c>
      <c r="S805" s="2" t="str">
        <f>IFERROR(VLOOKUP(C805,Sheet2!B:E,4,0),C805)</f>
        <v>一般产品</v>
      </c>
    </row>
    <row r="806" spans="1:19" x14ac:dyDescent="0.2">
      <c r="A806" t="s">
        <v>3000</v>
      </c>
      <c r="B806">
        <v>2399</v>
      </c>
      <c r="C806" t="s">
        <v>26</v>
      </c>
      <c r="D806" t="s">
        <v>970</v>
      </c>
      <c r="E806" t="s">
        <v>3001</v>
      </c>
      <c r="F806" t="s">
        <v>3002</v>
      </c>
      <c r="G806" s="2" t="s">
        <v>3003</v>
      </c>
      <c r="H806" t="s">
        <v>28</v>
      </c>
      <c r="I806" t="s">
        <v>130</v>
      </c>
      <c r="J806" t="s">
        <v>131</v>
      </c>
      <c r="K806" t="s">
        <v>930</v>
      </c>
      <c r="L806" t="s">
        <v>930</v>
      </c>
      <c r="M806" t="s">
        <v>132</v>
      </c>
      <c r="N806" t="s">
        <v>51</v>
      </c>
      <c r="O806" t="s">
        <v>33</v>
      </c>
      <c r="P806" t="s">
        <v>34</v>
      </c>
      <c r="Q806">
        <v>1</v>
      </c>
      <c r="R806">
        <v>0</v>
      </c>
      <c r="S806" s="2" t="str">
        <f>IFERROR(VLOOKUP(C806,Sheet2!B:E,4,0),C806)</f>
        <v>一般产品</v>
      </c>
    </row>
    <row r="807" spans="1:19" x14ac:dyDescent="0.2">
      <c r="A807" t="s">
        <v>3004</v>
      </c>
      <c r="B807">
        <v>3000</v>
      </c>
      <c r="C807" t="s">
        <v>26</v>
      </c>
      <c r="D807" t="s">
        <v>2257</v>
      </c>
      <c r="E807" t="s">
        <v>979</v>
      </c>
      <c r="F807" t="s">
        <v>980</v>
      </c>
      <c r="G807" s="2" t="s">
        <v>981</v>
      </c>
      <c r="H807" t="s">
        <v>18</v>
      </c>
      <c r="I807" t="s">
        <v>281</v>
      </c>
      <c r="J807" t="s">
        <v>282</v>
      </c>
      <c r="K807" t="s">
        <v>930</v>
      </c>
      <c r="L807" t="s">
        <v>930</v>
      </c>
      <c r="M807" t="s">
        <v>283</v>
      </c>
      <c r="N807" t="s">
        <v>68</v>
      </c>
      <c r="O807" t="s">
        <v>33</v>
      </c>
      <c r="P807" t="s">
        <v>34</v>
      </c>
      <c r="Q807">
        <v>1</v>
      </c>
      <c r="R807">
        <v>0</v>
      </c>
      <c r="S807" s="2" t="str">
        <f>IFERROR(VLOOKUP(C807,Sheet2!B:E,4,0),C807)</f>
        <v>一般产品</v>
      </c>
    </row>
    <row r="808" spans="1:19" x14ac:dyDescent="0.2">
      <c r="A808" t="s">
        <v>3005</v>
      </c>
      <c r="B808">
        <v>2000</v>
      </c>
      <c r="C808" t="s">
        <v>26</v>
      </c>
      <c r="D808" t="s">
        <v>50</v>
      </c>
      <c r="E808" t="s">
        <v>3006</v>
      </c>
      <c r="F808" t="s">
        <v>811</v>
      </c>
      <c r="G808" s="2" t="s">
        <v>812</v>
      </c>
      <c r="H808" t="s">
        <v>18</v>
      </c>
      <c r="I808" t="s">
        <v>930</v>
      </c>
      <c r="J808" t="s">
        <v>930</v>
      </c>
      <c r="K808" t="s">
        <v>106</v>
      </c>
      <c r="L808" t="s">
        <v>930</v>
      </c>
      <c r="M808" t="s">
        <v>1456</v>
      </c>
      <c r="N808" t="s">
        <v>108</v>
      </c>
      <c r="O808" t="s">
        <v>33</v>
      </c>
      <c r="P808" t="s">
        <v>34</v>
      </c>
      <c r="Q808">
        <v>1</v>
      </c>
      <c r="R808">
        <v>0</v>
      </c>
      <c r="S808" s="2" t="str">
        <f>IFERROR(VLOOKUP(C808,Sheet2!B:E,4,0),C808)</f>
        <v>一般产品</v>
      </c>
    </row>
    <row r="809" spans="1:19" x14ac:dyDescent="0.2">
      <c r="A809" t="s">
        <v>3007</v>
      </c>
      <c r="B809">
        <v>4700</v>
      </c>
      <c r="C809" t="s">
        <v>26</v>
      </c>
      <c r="D809" t="s">
        <v>2257</v>
      </c>
      <c r="E809" t="s">
        <v>3008</v>
      </c>
      <c r="F809" t="s">
        <v>1280</v>
      </c>
      <c r="G809" s="2" t="s">
        <v>1281</v>
      </c>
      <c r="H809" t="s">
        <v>18</v>
      </c>
      <c r="I809" t="s">
        <v>186</v>
      </c>
      <c r="J809" t="s">
        <v>187</v>
      </c>
      <c r="K809" t="s">
        <v>930</v>
      </c>
      <c r="L809" t="s">
        <v>930</v>
      </c>
      <c r="M809" t="s">
        <v>188</v>
      </c>
      <c r="N809" t="s">
        <v>136</v>
      </c>
      <c r="O809" t="s">
        <v>95</v>
      </c>
      <c r="P809" t="s">
        <v>90</v>
      </c>
      <c r="Q809">
        <v>1</v>
      </c>
      <c r="R809">
        <v>0</v>
      </c>
      <c r="S809" s="2" t="str">
        <f>IFERROR(VLOOKUP(C809,Sheet2!B:E,4,0),C809)</f>
        <v>一般产品</v>
      </c>
    </row>
    <row r="810" spans="1:19" x14ac:dyDescent="0.2">
      <c r="A810" t="s">
        <v>3009</v>
      </c>
      <c r="B810">
        <v>2200</v>
      </c>
      <c r="C810" t="s">
        <v>575</v>
      </c>
      <c r="D810" t="s">
        <v>50</v>
      </c>
      <c r="E810" t="s">
        <v>3010</v>
      </c>
      <c r="F810" t="s">
        <v>3011</v>
      </c>
      <c r="G810" s="2" t="s">
        <v>3012</v>
      </c>
      <c r="H810" t="s">
        <v>28</v>
      </c>
      <c r="I810" t="s">
        <v>930</v>
      </c>
      <c r="J810" t="s">
        <v>930</v>
      </c>
      <c r="K810" t="s">
        <v>115</v>
      </c>
      <c r="L810" t="s">
        <v>930</v>
      </c>
      <c r="M810" t="s">
        <v>116</v>
      </c>
      <c r="N810" t="s">
        <v>45</v>
      </c>
      <c r="O810" t="s">
        <v>117</v>
      </c>
      <c r="P810" t="s">
        <v>34</v>
      </c>
      <c r="Q810">
        <v>1</v>
      </c>
      <c r="R810">
        <v>0</v>
      </c>
      <c r="S810" s="2" t="str">
        <f>IFERROR(VLOOKUP(C810,Sheet2!B:E,4,0),C810)</f>
        <v>优惠产品</v>
      </c>
    </row>
    <row r="811" spans="1:19" x14ac:dyDescent="0.2">
      <c r="A811" t="s">
        <v>3013</v>
      </c>
      <c r="B811">
        <v>1798</v>
      </c>
      <c r="C811" t="s">
        <v>26</v>
      </c>
      <c r="D811" t="s">
        <v>50</v>
      </c>
      <c r="E811" t="s">
        <v>792</v>
      </c>
      <c r="F811" t="s">
        <v>3014</v>
      </c>
      <c r="G811" s="2" t="s">
        <v>3015</v>
      </c>
      <c r="H811" t="s">
        <v>18</v>
      </c>
      <c r="I811" t="s">
        <v>164</v>
      </c>
      <c r="J811" t="s">
        <v>165</v>
      </c>
      <c r="K811" t="s">
        <v>930</v>
      </c>
      <c r="L811" t="s">
        <v>930</v>
      </c>
      <c r="M811" t="s">
        <v>166</v>
      </c>
      <c r="N811" t="s">
        <v>55</v>
      </c>
      <c r="O811" t="s">
        <v>33</v>
      </c>
      <c r="P811" t="s">
        <v>34</v>
      </c>
      <c r="Q811">
        <v>1</v>
      </c>
      <c r="R811">
        <v>0</v>
      </c>
      <c r="S811" s="2" t="str">
        <f>IFERROR(VLOOKUP(C811,Sheet2!B:E,4,0),C811)</f>
        <v>一般产品</v>
      </c>
    </row>
    <row r="812" spans="1:19" x14ac:dyDescent="0.2">
      <c r="A812" t="s">
        <v>3016</v>
      </c>
      <c r="B812">
        <v>4000</v>
      </c>
      <c r="C812" t="s">
        <v>26</v>
      </c>
      <c r="D812" t="s">
        <v>50</v>
      </c>
      <c r="E812" t="s">
        <v>1124</v>
      </c>
      <c r="F812" t="s">
        <v>537</v>
      </c>
      <c r="G812" s="2" t="s">
        <v>538</v>
      </c>
      <c r="H812" t="s">
        <v>18</v>
      </c>
      <c r="I812" t="s">
        <v>408</v>
      </c>
      <c r="J812" t="s">
        <v>1234</v>
      </c>
      <c r="K812" t="s">
        <v>930</v>
      </c>
      <c r="L812" t="s">
        <v>930</v>
      </c>
      <c r="M812" t="s">
        <v>1235</v>
      </c>
      <c r="N812" t="s">
        <v>55</v>
      </c>
      <c r="O812" t="s">
        <v>33</v>
      </c>
      <c r="P812" t="s">
        <v>34</v>
      </c>
      <c r="Q812">
        <v>1</v>
      </c>
      <c r="R812">
        <v>0</v>
      </c>
      <c r="S812" s="2" t="str">
        <f>IFERROR(VLOOKUP(C812,Sheet2!B:E,4,0),C812)</f>
        <v>一般产品</v>
      </c>
    </row>
    <row r="813" spans="1:19" x14ac:dyDescent="0.2">
      <c r="A813" t="s">
        <v>3017</v>
      </c>
      <c r="B813">
        <v>4588</v>
      </c>
      <c r="C813" t="s">
        <v>589</v>
      </c>
      <c r="D813" t="s">
        <v>2257</v>
      </c>
      <c r="E813" t="s">
        <v>1335</v>
      </c>
      <c r="F813" t="s">
        <v>992</v>
      </c>
      <c r="G813" s="2" t="s">
        <v>993</v>
      </c>
      <c r="H813" t="s">
        <v>18</v>
      </c>
      <c r="I813" t="s">
        <v>76</v>
      </c>
      <c r="J813" t="s">
        <v>77</v>
      </c>
      <c r="K813" t="s">
        <v>930</v>
      </c>
      <c r="L813" t="s">
        <v>930</v>
      </c>
      <c r="M813" t="s">
        <v>78</v>
      </c>
      <c r="N813" t="s">
        <v>44</v>
      </c>
      <c r="O813" t="s">
        <v>24</v>
      </c>
      <c r="P813" t="s">
        <v>25</v>
      </c>
      <c r="Q813">
        <v>1</v>
      </c>
      <c r="R813">
        <v>0</v>
      </c>
      <c r="S813" s="2" t="str">
        <f>IFERROR(VLOOKUP(C813,Sheet2!B:E,4,0),C813)</f>
        <v>优惠产品</v>
      </c>
    </row>
    <row r="814" spans="1:19" x14ac:dyDescent="0.2">
      <c r="A814" t="s">
        <v>3018</v>
      </c>
      <c r="B814">
        <v>4000</v>
      </c>
      <c r="C814" t="s">
        <v>26</v>
      </c>
      <c r="D814" t="s">
        <v>970</v>
      </c>
      <c r="E814" t="s">
        <v>1035</v>
      </c>
      <c r="F814" t="s">
        <v>1036</v>
      </c>
      <c r="G814" s="2" t="s">
        <v>1037</v>
      </c>
      <c r="H814" t="s">
        <v>18</v>
      </c>
      <c r="I814" t="s">
        <v>401</v>
      </c>
      <c r="J814" t="s">
        <v>402</v>
      </c>
      <c r="K814" t="s">
        <v>930</v>
      </c>
      <c r="L814" t="s">
        <v>930</v>
      </c>
      <c r="M814" t="s">
        <v>403</v>
      </c>
      <c r="N814" t="s">
        <v>68</v>
      </c>
      <c r="O814" t="s">
        <v>33</v>
      </c>
      <c r="P814" t="s">
        <v>34</v>
      </c>
      <c r="Q814">
        <v>1</v>
      </c>
      <c r="R814">
        <v>0</v>
      </c>
      <c r="S814" s="2" t="str">
        <f>IFERROR(VLOOKUP(C814,Sheet2!B:E,4,0),C814)</f>
        <v>一般产品</v>
      </c>
    </row>
    <row r="815" spans="1:19" x14ac:dyDescent="0.2">
      <c r="A815" t="s">
        <v>3019</v>
      </c>
      <c r="B815">
        <v>1010</v>
      </c>
      <c r="C815" t="s">
        <v>589</v>
      </c>
      <c r="D815" t="s">
        <v>50</v>
      </c>
      <c r="E815" t="s">
        <v>801</v>
      </c>
      <c r="F815" t="s">
        <v>1181</v>
      </c>
      <c r="G815" s="2" t="s">
        <v>1182</v>
      </c>
      <c r="H815" t="s">
        <v>18</v>
      </c>
      <c r="I815" t="s">
        <v>198</v>
      </c>
      <c r="J815" t="s">
        <v>199</v>
      </c>
      <c r="K815" t="s">
        <v>930</v>
      </c>
      <c r="L815" t="s">
        <v>930</v>
      </c>
      <c r="M815" t="s">
        <v>1048</v>
      </c>
      <c r="N815" t="s">
        <v>108</v>
      </c>
      <c r="O815" t="s">
        <v>33</v>
      </c>
      <c r="P815" t="s">
        <v>34</v>
      </c>
      <c r="Q815">
        <v>1</v>
      </c>
      <c r="R815">
        <v>0</v>
      </c>
      <c r="S815" s="2" t="str">
        <f>IFERROR(VLOOKUP(C815,Sheet2!B:E,4,0),C815)</f>
        <v>优惠产品</v>
      </c>
    </row>
    <row r="816" spans="1:19" x14ac:dyDescent="0.2">
      <c r="A816" t="s">
        <v>3020</v>
      </c>
      <c r="B816">
        <v>2799</v>
      </c>
      <c r="C816" t="s">
        <v>26</v>
      </c>
      <c r="D816" t="s">
        <v>971</v>
      </c>
      <c r="E816" t="s">
        <v>668</v>
      </c>
      <c r="F816" t="s">
        <v>735</v>
      </c>
      <c r="G816" s="2" t="s">
        <v>736</v>
      </c>
      <c r="H816" t="s">
        <v>18</v>
      </c>
      <c r="I816" t="s">
        <v>242</v>
      </c>
      <c r="J816" t="s">
        <v>243</v>
      </c>
      <c r="K816" t="s">
        <v>930</v>
      </c>
      <c r="L816" t="s">
        <v>930</v>
      </c>
      <c r="M816" t="s">
        <v>244</v>
      </c>
      <c r="N816" t="s">
        <v>46</v>
      </c>
      <c r="O816" t="s">
        <v>63</v>
      </c>
      <c r="P816" t="s">
        <v>34</v>
      </c>
      <c r="Q816">
        <v>1</v>
      </c>
      <c r="R816">
        <v>0</v>
      </c>
      <c r="S816" s="2" t="str">
        <f>IFERROR(VLOOKUP(C816,Sheet2!B:E,4,0),C816)</f>
        <v>一般产品</v>
      </c>
    </row>
    <row r="817" spans="1:19" x14ac:dyDescent="0.2">
      <c r="A817" t="s">
        <v>3021</v>
      </c>
      <c r="B817">
        <v>2798</v>
      </c>
      <c r="C817" t="s">
        <v>26</v>
      </c>
      <c r="D817" t="s">
        <v>971</v>
      </c>
      <c r="E817" t="s">
        <v>3022</v>
      </c>
      <c r="F817" t="s">
        <v>1370</v>
      </c>
      <c r="G817" s="2" t="s">
        <v>1371</v>
      </c>
      <c r="H817" t="s">
        <v>18</v>
      </c>
      <c r="I817" t="s">
        <v>379</v>
      </c>
      <c r="J817" t="s">
        <v>380</v>
      </c>
      <c r="K817" t="s">
        <v>930</v>
      </c>
      <c r="L817" t="s">
        <v>930</v>
      </c>
      <c r="M817" t="s">
        <v>381</v>
      </c>
      <c r="N817" t="s">
        <v>46</v>
      </c>
      <c r="O817" t="s">
        <v>63</v>
      </c>
      <c r="P817" t="s">
        <v>34</v>
      </c>
      <c r="Q817">
        <v>1</v>
      </c>
      <c r="R817">
        <v>0</v>
      </c>
      <c r="S817" s="2" t="str">
        <f>IFERROR(VLOOKUP(C817,Sheet2!B:E,4,0),C817)</f>
        <v>一般产品</v>
      </c>
    </row>
    <row r="818" spans="1:19" x14ac:dyDescent="0.2">
      <c r="A818" t="s">
        <v>3023</v>
      </c>
      <c r="B818">
        <v>2499</v>
      </c>
      <c r="C818" t="s">
        <v>575</v>
      </c>
      <c r="D818" t="s">
        <v>726</v>
      </c>
      <c r="E818" t="s">
        <v>3024</v>
      </c>
      <c r="F818" t="s">
        <v>947</v>
      </c>
      <c r="G818" s="2" t="s">
        <v>948</v>
      </c>
      <c r="H818" t="s">
        <v>18</v>
      </c>
      <c r="I818" t="s">
        <v>930</v>
      </c>
      <c r="J818" t="s">
        <v>930</v>
      </c>
      <c r="K818" t="s">
        <v>756</v>
      </c>
      <c r="L818" t="s">
        <v>930</v>
      </c>
      <c r="M818" t="s">
        <v>757</v>
      </c>
      <c r="N818" t="s">
        <v>62</v>
      </c>
      <c r="O818" t="s">
        <v>117</v>
      </c>
      <c r="P818" t="s">
        <v>34</v>
      </c>
      <c r="Q818">
        <v>1</v>
      </c>
      <c r="R818">
        <v>0</v>
      </c>
      <c r="S818" s="2" t="str">
        <f>IFERROR(VLOOKUP(C818,Sheet2!B:E,4,0),C818)</f>
        <v>优惠产品</v>
      </c>
    </row>
    <row r="819" spans="1:19" x14ac:dyDescent="0.2">
      <c r="A819" t="s">
        <v>3025</v>
      </c>
      <c r="B819">
        <v>2199</v>
      </c>
      <c r="C819" t="s">
        <v>589</v>
      </c>
      <c r="D819" t="s">
        <v>2257</v>
      </c>
      <c r="E819" t="s">
        <v>3026</v>
      </c>
      <c r="F819" t="s">
        <v>1499</v>
      </c>
      <c r="G819" s="2" t="s">
        <v>1500</v>
      </c>
      <c r="H819" t="s">
        <v>18</v>
      </c>
      <c r="I819" t="s">
        <v>930</v>
      </c>
      <c r="J819" t="s">
        <v>930</v>
      </c>
      <c r="K819" t="s">
        <v>448</v>
      </c>
      <c r="L819" t="s">
        <v>930</v>
      </c>
      <c r="M819" t="s">
        <v>449</v>
      </c>
      <c r="N819" t="s">
        <v>194</v>
      </c>
      <c r="O819" t="s">
        <v>24</v>
      </c>
      <c r="P819" t="s">
        <v>25</v>
      </c>
      <c r="Q819">
        <v>1</v>
      </c>
      <c r="R819">
        <v>0</v>
      </c>
      <c r="S819" s="2" t="str">
        <f>IFERROR(VLOOKUP(C819,Sheet2!B:E,4,0),C819)</f>
        <v>优惠产品</v>
      </c>
    </row>
    <row r="820" spans="1:19" x14ac:dyDescent="0.2">
      <c r="A820" t="s">
        <v>3027</v>
      </c>
      <c r="B820">
        <v>1899</v>
      </c>
      <c r="C820" t="s">
        <v>26</v>
      </c>
      <c r="D820" t="s">
        <v>50</v>
      </c>
      <c r="E820" t="s">
        <v>407</v>
      </c>
      <c r="F820" t="s">
        <v>620</v>
      </c>
      <c r="G820" s="2" t="s">
        <v>621</v>
      </c>
      <c r="H820" t="s">
        <v>28</v>
      </c>
      <c r="I820" t="s">
        <v>408</v>
      </c>
      <c r="J820" t="s">
        <v>1234</v>
      </c>
      <c r="K820" t="s">
        <v>930</v>
      </c>
      <c r="L820" t="s">
        <v>930</v>
      </c>
      <c r="M820" t="s">
        <v>1235</v>
      </c>
      <c r="N820" t="s">
        <v>55</v>
      </c>
      <c r="O820" t="s">
        <v>33</v>
      </c>
      <c r="P820" t="s">
        <v>34</v>
      </c>
      <c r="Q820">
        <v>1</v>
      </c>
      <c r="R820">
        <v>0</v>
      </c>
      <c r="S820" s="2" t="str">
        <f>IFERROR(VLOOKUP(C820,Sheet2!B:E,4,0),C820)</f>
        <v>一般产品</v>
      </c>
    </row>
    <row r="821" spans="1:19" x14ac:dyDescent="0.2">
      <c r="A821" t="s">
        <v>3028</v>
      </c>
      <c r="B821">
        <v>1400</v>
      </c>
      <c r="C821" t="s">
        <v>26</v>
      </c>
      <c r="D821" t="s">
        <v>2257</v>
      </c>
      <c r="E821" t="s">
        <v>1267</v>
      </c>
      <c r="F821" t="s">
        <v>2646</v>
      </c>
      <c r="G821" s="2" t="s">
        <v>2647</v>
      </c>
      <c r="H821" t="s">
        <v>18</v>
      </c>
      <c r="I821" t="s">
        <v>930</v>
      </c>
      <c r="J821" t="s">
        <v>930</v>
      </c>
      <c r="K821" t="s">
        <v>230</v>
      </c>
      <c r="L821" t="s">
        <v>930</v>
      </c>
      <c r="M821" t="s">
        <v>231</v>
      </c>
      <c r="N821" t="s">
        <v>47</v>
      </c>
      <c r="O821" t="s">
        <v>33</v>
      </c>
      <c r="P821" t="s">
        <v>34</v>
      </c>
      <c r="Q821">
        <v>1</v>
      </c>
      <c r="R821">
        <v>0</v>
      </c>
      <c r="S821" s="2" t="str">
        <f>IFERROR(VLOOKUP(C821,Sheet2!B:E,4,0),C821)</f>
        <v>一般产品</v>
      </c>
    </row>
    <row r="822" spans="1:19" x14ac:dyDescent="0.2">
      <c r="A822" t="s">
        <v>3029</v>
      </c>
      <c r="B822">
        <v>2999</v>
      </c>
      <c r="C822" t="s">
        <v>26</v>
      </c>
      <c r="D822" t="s">
        <v>2257</v>
      </c>
      <c r="E822" t="s">
        <v>2501</v>
      </c>
      <c r="F822" t="s">
        <v>1285</v>
      </c>
      <c r="G822" s="2" t="s">
        <v>1286</v>
      </c>
      <c r="H822" t="s">
        <v>18</v>
      </c>
      <c r="I822" t="s">
        <v>167</v>
      </c>
      <c r="J822" t="s">
        <v>168</v>
      </c>
      <c r="K822" t="s">
        <v>930</v>
      </c>
      <c r="L822" t="s">
        <v>930</v>
      </c>
      <c r="M822" t="s">
        <v>937</v>
      </c>
      <c r="N822" t="s">
        <v>68</v>
      </c>
      <c r="O822" t="s">
        <v>33</v>
      </c>
      <c r="P822" t="s">
        <v>34</v>
      </c>
      <c r="Q822">
        <v>1</v>
      </c>
      <c r="R822">
        <v>0</v>
      </c>
      <c r="S822" s="2" t="str">
        <f>IFERROR(VLOOKUP(C822,Sheet2!B:E,4,0),C822)</f>
        <v>一般产品</v>
      </c>
    </row>
    <row r="823" spans="1:19" x14ac:dyDescent="0.2">
      <c r="A823" t="s">
        <v>3030</v>
      </c>
      <c r="B823">
        <v>5000</v>
      </c>
      <c r="C823" t="s">
        <v>26</v>
      </c>
      <c r="D823" t="s">
        <v>50</v>
      </c>
      <c r="E823" t="s">
        <v>1038</v>
      </c>
      <c r="F823" t="s">
        <v>1214</v>
      </c>
      <c r="G823" s="2" t="s">
        <v>1215</v>
      </c>
      <c r="H823" t="s">
        <v>18</v>
      </c>
      <c r="I823" t="s">
        <v>107</v>
      </c>
      <c r="J823" t="s">
        <v>1046</v>
      </c>
      <c r="K823" t="s">
        <v>930</v>
      </c>
      <c r="L823" t="s">
        <v>930</v>
      </c>
      <c r="M823" t="s">
        <v>1047</v>
      </c>
      <c r="N823" t="s">
        <v>108</v>
      </c>
      <c r="O823" t="s">
        <v>33</v>
      </c>
      <c r="P823" t="s">
        <v>34</v>
      </c>
      <c r="Q823">
        <v>1</v>
      </c>
      <c r="R823">
        <v>0</v>
      </c>
      <c r="S823" s="2" t="str">
        <f>IFERROR(VLOOKUP(C823,Sheet2!B:E,4,0),C823)</f>
        <v>一般产品</v>
      </c>
    </row>
    <row r="824" spans="1:19" x14ac:dyDescent="0.2">
      <c r="A824" t="s">
        <v>3031</v>
      </c>
      <c r="B824">
        <v>2998</v>
      </c>
      <c r="C824" t="s">
        <v>575</v>
      </c>
      <c r="D824" t="s">
        <v>971</v>
      </c>
      <c r="E824" t="s">
        <v>3032</v>
      </c>
      <c r="F824" t="s">
        <v>607</v>
      </c>
      <c r="G824" s="2" t="s">
        <v>608</v>
      </c>
      <c r="H824" t="s">
        <v>18</v>
      </c>
      <c r="I824" t="s">
        <v>169</v>
      </c>
      <c r="J824" t="s">
        <v>170</v>
      </c>
      <c r="K824" t="s">
        <v>930</v>
      </c>
      <c r="L824" t="s">
        <v>930</v>
      </c>
      <c r="M824" t="s">
        <v>171</v>
      </c>
      <c r="N824" t="s">
        <v>38</v>
      </c>
      <c r="O824" t="s">
        <v>39</v>
      </c>
      <c r="P824" t="s">
        <v>25</v>
      </c>
      <c r="Q824">
        <v>1</v>
      </c>
      <c r="R824">
        <v>0</v>
      </c>
      <c r="S824" s="2" t="str">
        <f>IFERROR(VLOOKUP(C824,Sheet2!B:E,4,0),C824)</f>
        <v>优惠产品</v>
      </c>
    </row>
    <row r="825" spans="1:19" x14ac:dyDescent="0.2">
      <c r="A825" t="s">
        <v>3033</v>
      </c>
      <c r="B825">
        <v>3199</v>
      </c>
      <c r="C825" t="s">
        <v>575</v>
      </c>
      <c r="D825" t="s">
        <v>50</v>
      </c>
      <c r="E825" t="s">
        <v>3034</v>
      </c>
      <c r="F825" t="s">
        <v>3035</v>
      </c>
      <c r="G825" s="2" t="s">
        <v>3036</v>
      </c>
      <c r="H825" t="s">
        <v>18</v>
      </c>
      <c r="I825" t="s">
        <v>450</v>
      </c>
      <c r="J825" t="s">
        <v>451</v>
      </c>
      <c r="K825" t="s">
        <v>930</v>
      </c>
      <c r="L825" t="s">
        <v>930</v>
      </c>
      <c r="M825" t="s">
        <v>939</v>
      </c>
      <c r="N825" t="s">
        <v>124</v>
      </c>
      <c r="O825" t="s">
        <v>117</v>
      </c>
      <c r="P825" t="s">
        <v>34</v>
      </c>
      <c r="Q825">
        <v>1</v>
      </c>
      <c r="R825">
        <v>0</v>
      </c>
      <c r="S825" s="2" t="str">
        <f>IFERROR(VLOOKUP(C825,Sheet2!B:E,4,0),C825)</f>
        <v>优惠产品</v>
      </c>
    </row>
    <row r="826" spans="1:19" x14ac:dyDescent="0.2">
      <c r="A826" t="s">
        <v>3037</v>
      </c>
      <c r="B826">
        <v>1799</v>
      </c>
      <c r="C826" t="s">
        <v>589</v>
      </c>
      <c r="D826" t="s">
        <v>971</v>
      </c>
      <c r="E826" t="s">
        <v>3038</v>
      </c>
      <c r="F826" t="s">
        <v>809</v>
      </c>
      <c r="G826" s="2" t="s">
        <v>810</v>
      </c>
      <c r="H826" t="s">
        <v>18</v>
      </c>
      <c r="I826" t="s">
        <v>191</v>
      </c>
      <c r="J826" t="s">
        <v>192</v>
      </c>
      <c r="K826" t="s">
        <v>930</v>
      </c>
      <c r="L826" t="s">
        <v>930</v>
      </c>
      <c r="M826" t="s">
        <v>193</v>
      </c>
      <c r="N826" t="s">
        <v>194</v>
      </c>
      <c r="O826" t="s">
        <v>24</v>
      </c>
      <c r="P826" t="s">
        <v>25</v>
      </c>
      <c r="Q826">
        <v>1</v>
      </c>
      <c r="R826">
        <v>0</v>
      </c>
      <c r="S826" s="2" t="str">
        <f>IFERROR(VLOOKUP(C826,Sheet2!B:E,4,0),C826)</f>
        <v>优惠产品</v>
      </c>
    </row>
    <row r="827" spans="1:19" x14ac:dyDescent="0.2">
      <c r="A827" t="s">
        <v>3039</v>
      </c>
      <c r="B827">
        <v>2999</v>
      </c>
      <c r="C827" t="s">
        <v>26</v>
      </c>
      <c r="D827" t="s">
        <v>50</v>
      </c>
      <c r="E827" t="s">
        <v>1229</v>
      </c>
      <c r="F827" t="s">
        <v>1461</v>
      </c>
      <c r="G827" s="2" t="s">
        <v>1462</v>
      </c>
      <c r="H827" t="s">
        <v>18</v>
      </c>
      <c r="I827" t="s">
        <v>81</v>
      </c>
      <c r="J827" t="s">
        <v>1230</v>
      </c>
      <c r="K827" t="s">
        <v>930</v>
      </c>
      <c r="L827" t="s">
        <v>930</v>
      </c>
      <c r="M827" t="s">
        <v>1231</v>
      </c>
      <c r="N827" t="s">
        <v>68</v>
      </c>
      <c r="O827" t="s">
        <v>33</v>
      </c>
      <c r="P827" t="s">
        <v>34</v>
      </c>
      <c r="Q827">
        <v>1</v>
      </c>
      <c r="R827">
        <v>0</v>
      </c>
      <c r="S827" s="2" t="str">
        <f>IFERROR(VLOOKUP(C827,Sheet2!B:E,4,0),C827)</f>
        <v>一般产品</v>
      </c>
    </row>
    <row r="828" spans="1:19" x14ac:dyDescent="0.2">
      <c r="A828" t="s">
        <v>3040</v>
      </c>
      <c r="B828">
        <v>2898</v>
      </c>
      <c r="C828" t="s">
        <v>575</v>
      </c>
      <c r="D828" t="s">
        <v>2257</v>
      </c>
      <c r="E828" t="s">
        <v>1117</v>
      </c>
      <c r="F828" t="s">
        <v>1325</v>
      </c>
      <c r="G828" s="2" t="s">
        <v>1326</v>
      </c>
      <c r="H828" t="s">
        <v>18</v>
      </c>
      <c r="I828" t="s">
        <v>139</v>
      </c>
      <c r="J828" t="s">
        <v>140</v>
      </c>
      <c r="K828" t="s">
        <v>930</v>
      </c>
      <c r="L828" t="s">
        <v>930</v>
      </c>
      <c r="M828" t="s">
        <v>141</v>
      </c>
      <c r="N828" t="s">
        <v>136</v>
      </c>
      <c r="O828" t="s">
        <v>95</v>
      </c>
      <c r="P828" t="s">
        <v>90</v>
      </c>
      <c r="Q828">
        <v>1</v>
      </c>
      <c r="R828">
        <v>0</v>
      </c>
      <c r="S828" s="2" t="str">
        <f>IFERROR(VLOOKUP(C828,Sheet2!B:E,4,0),C828)</f>
        <v>优惠产品</v>
      </c>
    </row>
    <row r="829" spans="1:19" x14ac:dyDescent="0.2">
      <c r="A829" t="s">
        <v>3041</v>
      </c>
      <c r="B829">
        <v>2298</v>
      </c>
      <c r="C829" t="s">
        <v>575</v>
      </c>
      <c r="D829" t="s">
        <v>2257</v>
      </c>
      <c r="E829" t="s">
        <v>675</v>
      </c>
      <c r="F829" t="s">
        <v>487</v>
      </c>
      <c r="G829" s="2" t="s">
        <v>488</v>
      </c>
      <c r="H829" t="s">
        <v>18</v>
      </c>
      <c r="I829" t="s">
        <v>224</v>
      </c>
      <c r="J829" t="s">
        <v>225</v>
      </c>
      <c r="K829" t="s">
        <v>930</v>
      </c>
      <c r="L829" t="s">
        <v>930</v>
      </c>
      <c r="M829" t="s">
        <v>226</v>
      </c>
      <c r="N829" t="s">
        <v>136</v>
      </c>
      <c r="O829" t="s">
        <v>95</v>
      </c>
      <c r="P829" t="s">
        <v>90</v>
      </c>
      <c r="Q829">
        <v>1</v>
      </c>
      <c r="R829">
        <v>0</v>
      </c>
      <c r="S829" s="2" t="str">
        <f>IFERROR(VLOOKUP(C829,Sheet2!B:E,4,0),C829)</f>
        <v>优惠产品</v>
      </c>
    </row>
    <row r="830" spans="1:19" x14ac:dyDescent="0.2">
      <c r="A830" t="s">
        <v>3042</v>
      </c>
      <c r="B830">
        <v>2200</v>
      </c>
      <c r="C830" t="s">
        <v>26</v>
      </c>
      <c r="D830" t="s">
        <v>50</v>
      </c>
      <c r="E830" t="s">
        <v>655</v>
      </c>
      <c r="F830" t="s">
        <v>1298</v>
      </c>
      <c r="G830" s="2" t="s">
        <v>1299</v>
      </c>
      <c r="H830" t="s">
        <v>18</v>
      </c>
      <c r="I830" t="s">
        <v>198</v>
      </c>
      <c r="J830" t="s">
        <v>199</v>
      </c>
      <c r="K830" t="s">
        <v>930</v>
      </c>
      <c r="L830" t="s">
        <v>930</v>
      </c>
      <c r="M830" t="s">
        <v>1048</v>
      </c>
      <c r="N830" t="s">
        <v>108</v>
      </c>
      <c r="O830" t="s">
        <v>33</v>
      </c>
      <c r="P830" t="s">
        <v>34</v>
      </c>
      <c r="Q830">
        <v>1</v>
      </c>
      <c r="R830">
        <v>0</v>
      </c>
      <c r="S830" s="2" t="str">
        <f>IFERROR(VLOOKUP(C830,Sheet2!B:E,4,0),C830)</f>
        <v>一般产品</v>
      </c>
    </row>
    <row r="831" spans="1:19" x14ac:dyDescent="0.2">
      <c r="A831" t="s">
        <v>3043</v>
      </c>
      <c r="B831">
        <v>8360</v>
      </c>
      <c r="C831" t="s">
        <v>575</v>
      </c>
      <c r="D831" t="s">
        <v>2257</v>
      </c>
      <c r="E831" t="s">
        <v>3044</v>
      </c>
      <c r="F831" t="s">
        <v>821</v>
      </c>
      <c r="G831" s="2" t="s">
        <v>822</v>
      </c>
      <c r="H831" t="s">
        <v>18</v>
      </c>
      <c r="I831" t="s">
        <v>224</v>
      </c>
      <c r="J831" t="s">
        <v>225</v>
      </c>
      <c r="K831" t="s">
        <v>930</v>
      </c>
      <c r="L831" t="s">
        <v>930</v>
      </c>
      <c r="M831" t="s">
        <v>226</v>
      </c>
      <c r="N831" t="s">
        <v>136</v>
      </c>
      <c r="O831" t="s">
        <v>95</v>
      </c>
      <c r="P831" t="s">
        <v>90</v>
      </c>
      <c r="Q831">
        <v>1</v>
      </c>
      <c r="R831">
        <v>0</v>
      </c>
      <c r="S831" s="2" t="str">
        <f>IFERROR(VLOOKUP(C831,Sheet2!B:E,4,0),C831)</f>
        <v>优惠产品</v>
      </c>
    </row>
    <row r="832" spans="1:19" x14ac:dyDescent="0.2">
      <c r="A832" t="s">
        <v>3045</v>
      </c>
      <c r="B832">
        <v>2000</v>
      </c>
      <c r="C832" t="s">
        <v>26</v>
      </c>
      <c r="D832" t="s">
        <v>50</v>
      </c>
      <c r="E832" t="s">
        <v>669</v>
      </c>
      <c r="F832" t="s">
        <v>670</v>
      </c>
      <c r="G832" s="2" t="s">
        <v>671</v>
      </c>
      <c r="H832" t="s">
        <v>18</v>
      </c>
      <c r="I832" t="s">
        <v>52</v>
      </c>
      <c r="J832" t="s">
        <v>53</v>
      </c>
      <c r="K832" t="s">
        <v>930</v>
      </c>
      <c r="L832" t="s">
        <v>930</v>
      </c>
      <c r="M832" t="s">
        <v>54</v>
      </c>
      <c r="N832" t="s">
        <v>55</v>
      </c>
      <c r="O832" t="s">
        <v>33</v>
      </c>
      <c r="P832" t="s">
        <v>34</v>
      </c>
      <c r="Q832">
        <v>1</v>
      </c>
      <c r="R832">
        <v>0</v>
      </c>
      <c r="S832" s="2" t="str">
        <f>IFERROR(VLOOKUP(C832,Sheet2!B:E,4,0),C832)</f>
        <v>一般产品</v>
      </c>
    </row>
    <row r="833" spans="1:19" x14ac:dyDescent="0.2">
      <c r="A833" t="s">
        <v>3046</v>
      </c>
      <c r="B833">
        <v>2299</v>
      </c>
      <c r="C833" t="s">
        <v>26</v>
      </c>
      <c r="D833" t="s">
        <v>2257</v>
      </c>
      <c r="E833" t="s">
        <v>1053</v>
      </c>
      <c r="F833" t="s">
        <v>849</v>
      </c>
      <c r="G833" s="2" t="s">
        <v>850</v>
      </c>
      <c r="H833" t="s">
        <v>18</v>
      </c>
      <c r="I833" t="s">
        <v>81</v>
      </c>
      <c r="J833" t="s">
        <v>1230</v>
      </c>
      <c r="K833" t="s">
        <v>930</v>
      </c>
      <c r="L833" t="s">
        <v>930</v>
      </c>
      <c r="M833" t="s">
        <v>1231</v>
      </c>
      <c r="N833" t="s">
        <v>68</v>
      </c>
      <c r="O833" t="s">
        <v>33</v>
      </c>
      <c r="P833" t="s">
        <v>34</v>
      </c>
      <c r="Q833">
        <v>1</v>
      </c>
      <c r="R833">
        <v>0</v>
      </c>
      <c r="S833" s="2" t="str">
        <f>IFERROR(VLOOKUP(C833,Sheet2!B:E,4,0),C833)</f>
        <v>一般产品</v>
      </c>
    </row>
    <row r="834" spans="1:19" x14ac:dyDescent="0.2">
      <c r="A834" t="s">
        <v>3047</v>
      </c>
      <c r="B834">
        <v>2500</v>
      </c>
      <c r="C834" t="s">
        <v>26</v>
      </c>
      <c r="D834" t="s">
        <v>50</v>
      </c>
      <c r="E834" t="s">
        <v>3048</v>
      </c>
      <c r="F834" t="s">
        <v>1397</v>
      </c>
      <c r="G834" s="2" t="s">
        <v>1398</v>
      </c>
      <c r="H834" t="s">
        <v>18</v>
      </c>
      <c r="I834" t="s">
        <v>930</v>
      </c>
      <c r="J834" t="s">
        <v>930</v>
      </c>
      <c r="K834" t="s">
        <v>79</v>
      </c>
      <c r="L834" t="s">
        <v>930</v>
      </c>
      <c r="M834" t="s">
        <v>80</v>
      </c>
      <c r="N834" t="s">
        <v>51</v>
      </c>
      <c r="O834" t="s">
        <v>33</v>
      </c>
      <c r="P834" t="s">
        <v>34</v>
      </c>
      <c r="Q834">
        <v>1</v>
      </c>
      <c r="R834">
        <v>0</v>
      </c>
      <c r="S834" s="2" t="str">
        <f>IFERROR(VLOOKUP(C834,Sheet2!B:E,4,0),C834)</f>
        <v>一般产品</v>
      </c>
    </row>
    <row r="835" spans="1:19" x14ac:dyDescent="0.2">
      <c r="A835" t="s">
        <v>3049</v>
      </c>
      <c r="B835">
        <v>2700</v>
      </c>
      <c r="C835" t="s">
        <v>26</v>
      </c>
      <c r="D835" t="s">
        <v>50</v>
      </c>
      <c r="E835" t="s">
        <v>3050</v>
      </c>
      <c r="F835" t="s">
        <v>3051</v>
      </c>
      <c r="G835" s="2" t="s">
        <v>3052</v>
      </c>
      <c r="H835" t="s">
        <v>18</v>
      </c>
      <c r="I835" t="s">
        <v>930</v>
      </c>
      <c r="J835" t="s">
        <v>930</v>
      </c>
      <c r="K835" t="s">
        <v>79</v>
      </c>
      <c r="L835" t="s">
        <v>930</v>
      </c>
      <c r="M835" t="s">
        <v>80</v>
      </c>
      <c r="N835" t="s">
        <v>51</v>
      </c>
      <c r="O835" t="s">
        <v>33</v>
      </c>
      <c r="P835" t="s">
        <v>34</v>
      </c>
      <c r="Q835">
        <v>1</v>
      </c>
      <c r="R835">
        <v>0</v>
      </c>
      <c r="S835" s="2" t="str">
        <f>IFERROR(VLOOKUP(C835,Sheet2!B:E,4,0),C835)</f>
        <v>一般产品</v>
      </c>
    </row>
    <row r="836" spans="1:19" x14ac:dyDescent="0.2">
      <c r="A836" t="s">
        <v>3053</v>
      </c>
      <c r="B836">
        <v>3499</v>
      </c>
      <c r="C836" t="s">
        <v>26</v>
      </c>
      <c r="D836" t="s">
        <v>50</v>
      </c>
      <c r="E836" t="s">
        <v>1115</v>
      </c>
      <c r="F836" t="s">
        <v>386</v>
      </c>
      <c r="G836" s="2" t="s">
        <v>387</v>
      </c>
      <c r="H836" t="s">
        <v>18</v>
      </c>
      <c r="I836" t="s">
        <v>133</v>
      </c>
      <c r="J836" t="s">
        <v>134</v>
      </c>
      <c r="K836" t="s">
        <v>930</v>
      </c>
      <c r="L836" t="s">
        <v>930</v>
      </c>
      <c r="M836" t="s">
        <v>135</v>
      </c>
      <c r="N836" t="s">
        <v>73</v>
      </c>
      <c r="O836" t="s">
        <v>24</v>
      </c>
      <c r="P836" t="s">
        <v>25</v>
      </c>
      <c r="Q836">
        <v>1</v>
      </c>
      <c r="R836">
        <v>0</v>
      </c>
      <c r="S836" s="2" t="str">
        <f>IFERROR(VLOOKUP(C836,Sheet2!B:E,4,0),C836)</f>
        <v>一般产品</v>
      </c>
    </row>
    <row r="837" spans="1:19" x14ac:dyDescent="0.2">
      <c r="A837" t="s">
        <v>3054</v>
      </c>
      <c r="B837">
        <v>3200</v>
      </c>
      <c r="C837" t="s">
        <v>26</v>
      </c>
      <c r="D837" t="s">
        <v>50</v>
      </c>
      <c r="E837" t="s">
        <v>520</v>
      </c>
      <c r="F837" t="s">
        <v>687</v>
      </c>
      <c r="G837" s="2" t="s">
        <v>688</v>
      </c>
      <c r="H837" t="s">
        <v>18</v>
      </c>
      <c r="I837" t="s">
        <v>930</v>
      </c>
      <c r="J837" t="s">
        <v>930</v>
      </c>
      <c r="K837" t="s">
        <v>163</v>
      </c>
      <c r="L837" t="s">
        <v>930</v>
      </c>
      <c r="M837" t="s">
        <v>931</v>
      </c>
      <c r="N837" t="s">
        <v>68</v>
      </c>
      <c r="O837" t="s">
        <v>33</v>
      </c>
      <c r="P837" t="s">
        <v>34</v>
      </c>
      <c r="Q837">
        <v>1</v>
      </c>
      <c r="R837">
        <v>0</v>
      </c>
      <c r="S837" s="2" t="str">
        <f>IFERROR(VLOOKUP(C837,Sheet2!B:E,4,0),C837)</f>
        <v>一般产品</v>
      </c>
    </row>
    <row r="838" spans="1:19" x14ac:dyDescent="0.2">
      <c r="A838" t="s">
        <v>3055</v>
      </c>
      <c r="B838">
        <v>2299</v>
      </c>
      <c r="C838" t="s">
        <v>575</v>
      </c>
      <c r="D838" t="s">
        <v>50</v>
      </c>
      <c r="E838" t="s">
        <v>3056</v>
      </c>
      <c r="F838" t="s">
        <v>1131</v>
      </c>
      <c r="G838" s="2" t="s">
        <v>1132</v>
      </c>
      <c r="H838" t="s">
        <v>18</v>
      </c>
      <c r="I838" t="s">
        <v>343</v>
      </c>
      <c r="J838" t="s">
        <v>344</v>
      </c>
      <c r="K838" t="s">
        <v>930</v>
      </c>
      <c r="L838" t="s">
        <v>930</v>
      </c>
      <c r="M838" t="s">
        <v>345</v>
      </c>
      <c r="N838" t="s">
        <v>114</v>
      </c>
      <c r="O838" t="s">
        <v>24</v>
      </c>
      <c r="P838" t="s">
        <v>25</v>
      </c>
      <c r="Q838">
        <v>1</v>
      </c>
      <c r="R838">
        <v>0</v>
      </c>
      <c r="S838" s="2" t="str">
        <f>IFERROR(VLOOKUP(C838,Sheet2!B:E,4,0),C838)</f>
        <v>优惠产品</v>
      </c>
    </row>
    <row r="839" spans="1:19" x14ac:dyDescent="0.2">
      <c r="A839" t="s">
        <v>3057</v>
      </c>
      <c r="B839">
        <v>2499</v>
      </c>
      <c r="C839" t="s">
        <v>575</v>
      </c>
      <c r="D839" t="s">
        <v>971</v>
      </c>
      <c r="E839" t="s">
        <v>737</v>
      </c>
      <c r="F839" t="s">
        <v>317</v>
      </c>
      <c r="G839" s="2" t="s">
        <v>318</v>
      </c>
      <c r="H839" t="s">
        <v>18</v>
      </c>
      <c r="I839" t="s">
        <v>232</v>
      </c>
      <c r="J839" t="s">
        <v>233</v>
      </c>
      <c r="K839" t="s">
        <v>930</v>
      </c>
      <c r="L839" t="s">
        <v>930</v>
      </c>
      <c r="M839" t="s">
        <v>234</v>
      </c>
      <c r="N839" t="s">
        <v>43</v>
      </c>
      <c r="O839" t="s">
        <v>24</v>
      </c>
      <c r="P839" t="s">
        <v>25</v>
      </c>
      <c r="Q839">
        <v>1</v>
      </c>
      <c r="R839">
        <v>0</v>
      </c>
      <c r="S839" s="2" t="str">
        <f>IFERROR(VLOOKUP(C839,Sheet2!B:E,4,0),C839)</f>
        <v>优惠产品</v>
      </c>
    </row>
    <row r="840" spans="1:19" x14ac:dyDescent="0.2">
      <c r="A840" t="s">
        <v>3058</v>
      </c>
      <c r="B840">
        <v>3880</v>
      </c>
      <c r="C840" t="s">
        <v>26</v>
      </c>
      <c r="D840" t="s">
        <v>50</v>
      </c>
      <c r="E840" t="s">
        <v>1264</v>
      </c>
      <c r="F840" t="s">
        <v>391</v>
      </c>
      <c r="G840" s="2" t="s">
        <v>392</v>
      </c>
      <c r="H840" t="s">
        <v>18</v>
      </c>
      <c r="I840" t="s">
        <v>934</v>
      </c>
      <c r="J840" t="s">
        <v>935</v>
      </c>
      <c r="K840" t="s">
        <v>930</v>
      </c>
      <c r="L840" t="s">
        <v>930</v>
      </c>
      <c r="M840" t="s">
        <v>936</v>
      </c>
      <c r="N840" t="s">
        <v>45</v>
      </c>
      <c r="O840" t="s">
        <v>48</v>
      </c>
      <c r="P840" t="s">
        <v>49</v>
      </c>
      <c r="Q840">
        <v>1</v>
      </c>
      <c r="R840">
        <v>0</v>
      </c>
      <c r="S840" s="2" t="str">
        <f>IFERROR(VLOOKUP(C840,Sheet2!B:E,4,0),C840)</f>
        <v>一般产品</v>
      </c>
    </row>
    <row r="841" spans="1:19" x14ac:dyDescent="0.2">
      <c r="A841" t="s">
        <v>3059</v>
      </c>
      <c r="B841">
        <v>3499</v>
      </c>
      <c r="C841" t="s">
        <v>26</v>
      </c>
      <c r="D841" t="s">
        <v>50</v>
      </c>
      <c r="E841" t="s">
        <v>337</v>
      </c>
      <c r="F841" t="s">
        <v>605</v>
      </c>
      <c r="G841" s="2" t="s">
        <v>606</v>
      </c>
      <c r="H841" t="s">
        <v>18</v>
      </c>
      <c r="I841" t="s">
        <v>125</v>
      </c>
      <c r="J841" t="s">
        <v>126</v>
      </c>
      <c r="K841" t="s">
        <v>930</v>
      </c>
      <c r="L841" t="s">
        <v>930</v>
      </c>
      <c r="M841" t="s">
        <v>127</v>
      </c>
      <c r="N841" t="s">
        <v>32</v>
      </c>
      <c r="O841" t="s">
        <v>33</v>
      </c>
      <c r="P841" t="s">
        <v>34</v>
      </c>
      <c r="Q841">
        <v>1</v>
      </c>
      <c r="R841">
        <v>0</v>
      </c>
      <c r="S841" s="2" t="str">
        <f>IFERROR(VLOOKUP(C841,Sheet2!B:E,4,0),C841)</f>
        <v>一般产品</v>
      </c>
    </row>
    <row r="842" spans="1:19" x14ac:dyDescent="0.2">
      <c r="A842" t="s">
        <v>3060</v>
      </c>
      <c r="B842">
        <v>3000</v>
      </c>
      <c r="C842" t="s">
        <v>26</v>
      </c>
      <c r="D842" t="s">
        <v>970</v>
      </c>
      <c r="E842" t="s">
        <v>3061</v>
      </c>
      <c r="F842" t="s">
        <v>2979</v>
      </c>
      <c r="G842" s="2" t="s">
        <v>2980</v>
      </c>
      <c r="H842" t="s">
        <v>18</v>
      </c>
      <c r="I842" t="s">
        <v>130</v>
      </c>
      <c r="J842" t="s">
        <v>131</v>
      </c>
      <c r="K842" t="s">
        <v>930</v>
      </c>
      <c r="L842" t="s">
        <v>930</v>
      </c>
      <c r="M842" t="s">
        <v>132</v>
      </c>
      <c r="N842" t="s">
        <v>51</v>
      </c>
      <c r="O842" t="s">
        <v>33</v>
      </c>
      <c r="P842" t="s">
        <v>34</v>
      </c>
      <c r="Q842">
        <v>1</v>
      </c>
      <c r="R842">
        <v>0</v>
      </c>
      <c r="S842" s="2" t="str">
        <f>IFERROR(VLOOKUP(C842,Sheet2!B:E,4,0),C842)</f>
        <v>一般产品</v>
      </c>
    </row>
    <row r="843" spans="1:19" x14ac:dyDescent="0.2">
      <c r="A843" t="s">
        <v>3062</v>
      </c>
      <c r="B843">
        <v>8280</v>
      </c>
      <c r="C843" t="s">
        <v>575</v>
      </c>
      <c r="D843" t="s">
        <v>2257</v>
      </c>
      <c r="E843" t="s">
        <v>3044</v>
      </c>
      <c r="F843" t="s">
        <v>821</v>
      </c>
      <c r="G843" s="2" t="s">
        <v>822</v>
      </c>
      <c r="H843" t="s">
        <v>18</v>
      </c>
      <c r="I843" t="s">
        <v>224</v>
      </c>
      <c r="J843" t="s">
        <v>225</v>
      </c>
      <c r="K843" t="s">
        <v>930</v>
      </c>
      <c r="L843" t="s">
        <v>930</v>
      </c>
      <c r="M843" t="s">
        <v>226</v>
      </c>
      <c r="N843" t="s">
        <v>136</v>
      </c>
      <c r="O843" t="s">
        <v>95</v>
      </c>
      <c r="P843" t="s">
        <v>90</v>
      </c>
      <c r="Q843">
        <v>1</v>
      </c>
      <c r="R843">
        <v>0</v>
      </c>
      <c r="S843" s="2" t="str">
        <f>IFERROR(VLOOKUP(C843,Sheet2!B:E,4,0),C843)</f>
        <v>优惠产品</v>
      </c>
    </row>
    <row r="844" spans="1:19" x14ac:dyDescent="0.2">
      <c r="A844" t="s">
        <v>3063</v>
      </c>
      <c r="B844">
        <v>3999</v>
      </c>
      <c r="C844" t="s">
        <v>575</v>
      </c>
      <c r="D844" t="s">
        <v>2257</v>
      </c>
      <c r="E844" t="s">
        <v>3064</v>
      </c>
      <c r="F844" t="s">
        <v>3065</v>
      </c>
      <c r="G844" s="2" t="s">
        <v>3066</v>
      </c>
      <c r="H844" t="s">
        <v>28</v>
      </c>
      <c r="I844" t="s">
        <v>930</v>
      </c>
      <c r="J844" t="s">
        <v>930</v>
      </c>
      <c r="K844" t="s">
        <v>1376</v>
      </c>
      <c r="L844" t="s">
        <v>930</v>
      </c>
      <c r="M844" t="s">
        <v>1377</v>
      </c>
      <c r="N844" t="s">
        <v>136</v>
      </c>
      <c r="O844" t="s">
        <v>95</v>
      </c>
      <c r="P844" t="s">
        <v>90</v>
      </c>
      <c r="Q844">
        <v>1</v>
      </c>
      <c r="R844">
        <v>0</v>
      </c>
      <c r="S844" s="2" t="str">
        <f>IFERROR(VLOOKUP(C844,Sheet2!B:E,4,0),C844)</f>
        <v>优惠产品</v>
      </c>
    </row>
    <row r="845" spans="1:19" x14ac:dyDescent="0.2">
      <c r="A845" t="s">
        <v>3067</v>
      </c>
      <c r="B845">
        <v>2900</v>
      </c>
      <c r="C845" t="s">
        <v>26</v>
      </c>
      <c r="D845" t="s">
        <v>2257</v>
      </c>
      <c r="E845" t="s">
        <v>3068</v>
      </c>
      <c r="F845" t="s">
        <v>1314</v>
      </c>
      <c r="G845" s="2" t="s">
        <v>1315</v>
      </c>
      <c r="H845" t="s">
        <v>18</v>
      </c>
      <c r="I845" t="s">
        <v>930</v>
      </c>
      <c r="J845" t="s">
        <v>930</v>
      </c>
      <c r="K845" t="s">
        <v>163</v>
      </c>
      <c r="L845" t="s">
        <v>930</v>
      </c>
      <c r="M845" t="s">
        <v>931</v>
      </c>
      <c r="N845" t="s">
        <v>68</v>
      </c>
      <c r="O845" t="s">
        <v>33</v>
      </c>
      <c r="P845" t="s">
        <v>34</v>
      </c>
      <c r="Q845">
        <v>1</v>
      </c>
      <c r="R845">
        <v>0</v>
      </c>
      <c r="S845" s="2" t="str">
        <f>IFERROR(VLOOKUP(C845,Sheet2!B:E,4,0),C845)</f>
        <v>一般产品</v>
      </c>
    </row>
    <row r="846" spans="1:19" x14ac:dyDescent="0.2">
      <c r="A846" t="s">
        <v>3069</v>
      </c>
      <c r="B846">
        <v>2798</v>
      </c>
      <c r="C846" t="s">
        <v>26</v>
      </c>
      <c r="D846" t="s">
        <v>50</v>
      </c>
      <c r="E846" t="s">
        <v>454</v>
      </c>
      <c r="F846" t="s">
        <v>322</v>
      </c>
      <c r="G846" s="2" t="s">
        <v>323</v>
      </c>
      <c r="H846" t="s">
        <v>18</v>
      </c>
      <c r="I846" t="s">
        <v>164</v>
      </c>
      <c r="J846" t="s">
        <v>165</v>
      </c>
      <c r="K846" t="s">
        <v>930</v>
      </c>
      <c r="L846" t="s">
        <v>930</v>
      </c>
      <c r="M846" t="s">
        <v>166</v>
      </c>
      <c r="N846" t="s">
        <v>55</v>
      </c>
      <c r="O846" t="s">
        <v>33</v>
      </c>
      <c r="P846" t="s">
        <v>34</v>
      </c>
      <c r="Q846">
        <v>1</v>
      </c>
      <c r="R846">
        <v>0</v>
      </c>
      <c r="S846" s="2" t="str">
        <f>IFERROR(VLOOKUP(C846,Sheet2!B:E,4,0),C846)</f>
        <v>一般产品</v>
      </c>
    </row>
    <row r="847" spans="1:19" x14ac:dyDescent="0.2">
      <c r="A847" t="s">
        <v>3070</v>
      </c>
      <c r="B847">
        <v>1000</v>
      </c>
      <c r="C847" t="s">
        <v>26</v>
      </c>
      <c r="D847" t="s">
        <v>50</v>
      </c>
      <c r="E847" t="s">
        <v>595</v>
      </c>
      <c r="F847" t="s">
        <v>1061</v>
      </c>
      <c r="G847" s="2" t="s">
        <v>1062</v>
      </c>
      <c r="H847" t="s">
        <v>18</v>
      </c>
      <c r="I847" t="s">
        <v>97</v>
      </c>
      <c r="J847" t="s">
        <v>98</v>
      </c>
      <c r="K847" t="s">
        <v>930</v>
      </c>
      <c r="L847" t="s">
        <v>930</v>
      </c>
      <c r="M847" t="s">
        <v>99</v>
      </c>
      <c r="N847" t="s">
        <v>55</v>
      </c>
      <c r="O847" t="s">
        <v>33</v>
      </c>
      <c r="P847" t="s">
        <v>34</v>
      </c>
      <c r="Q847">
        <v>1</v>
      </c>
      <c r="R847">
        <v>0</v>
      </c>
      <c r="S847" s="2" t="str">
        <f>IFERROR(VLOOKUP(C847,Sheet2!B:E,4,0),C847)</f>
        <v>一般产品</v>
      </c>
    </row>
    <row r="848" spans="1:19" x14ac:dyDescent="0.2">
      <c r="A848" t="s">
        <v>3071</v>
      </c>
      <c r="B848">
        <v>3500</v>
      </c>
      <c r="C848" t="s">
        <v>26</v>
      </c>
      <c r="D848" t="s">
        <v>50</v>
      </c>
      <c r="E848" t="s">
        <v>761</v>
      </c>
      <c r="F848" t="s">
        <v>1227</v>
      </c>
      <c r="G848" s="2" t="s">
        <v>1228</v>
      </c>
      <c r="H848" t="s">
        <v>18</v>
      </c>
      <c r="I848" t="s">
        <v>421</v>
      </c>
      <c r="J848" t="s">
        <v>422</v>
      </c>
      <c r="K848" t="s">
        <v>930</v>
      </c>
      <c r="L848" t="s">
        <v>930</v>
      </c>
      <c r="M848" t="s">
        <v>423</v>
      </c>
      <c r="N848" t="s">
        <v>68</v>
      </c>
      <c r="O848" t="s">
        <v>33</v>
      </c>
      <c r="P848" t="s">
        <v>34</v>
      </c>
      <c r="Q848">
        <v>1</v>
      </c>
      <c r="R848">
        <v>0</v>
      </c>
      <c r="S848" s="2" t="str">
        <f>IFERROR(VLOOKUP(C848,Sheet2!B:E,4,0),C848)</f>
        <v>一般产品</v>
      </c>
    </row>
    <row r="849" spans="1:19" x14ac:dyDescent="0.2">
      <c r="A849" t="s">
        <v>3072</v>
      </c>
      <c r="B849">
        <v>3198</v>
      </c>
      <c r="C849" t="s">
        <v>575</v>
      </c>
      <c r="D849" t="s">
        <v>971</v>
      </c>
      <c r="E849" t="s">
        <v>3073</v>
      </c>
      <c r="F849" t="s">
        <v>240</v>
      </c>
      <c r="G849" s="2" t="s">
        <v>241</v>
      </c>
      <c r="H849" t="s">
        <v>18</v>
      </c>
      <c r="I849" t="s">
        <v>147</v>
      </c>
      <c r="J849" t="s">
        <v>148</v>
      </c>
      <c r="K849" t="s">
        <v>930</v>
      </c>
      <c r="L849" t="s">
        <v>930</v>
      </c>
      <c r="M849" t="s">
        <v>149</v>
      </c>
      <c r="N849" t="s">
        <v>73</v>
      </c>
      <c r="O849" t="s">
        <v>24</v>
      </c>
      <c r="P849" t="s">
        <v>25</v>
      </c>
      <c r="Q849">
        <v>1</v>
      </c>
      <c r="R849">
        <v>0</v>
      </c>
      <c r="S849" s="2" t="str">
        <f>IFERROR(VLOOKUP(C849,Sheet2!B:E,4,0),C849)</f>
        <v>优惠产品</v>
      </c>
    </row>
    <row r="850" spans="1:19" x14ac:dyDescent="0.2">
      <c r="A850" t="s">
        <v>3074</v>
      </c>
      <c r="B850">
        <v>2019</v>
      </c>
      <c r="C850" t="s">
        <v>26</v>
      </c>
      <c r="D850" t="s">
        <v>970</v>
      </c>
      <c r="E850" t="s">
        <v>1076</v>
      </c>
      <c r="F850" t="s">
        <v>442</v>
      </c>
      <c r="G850" s="2" t="s">
        <v>443</v>
      </c>
      <c r="H850" t="s">
        <v>18</v>
      </c>
      <c r="I850" t="s">
        <v>159</v>
      </c>
      <c r="J850" t="s">
        <v>160</v>
      </c>
      <c r="K850" t="s">
        <v>930</v>
      </c>
      <c r="L850" t="s">
        <v>930</v>
      </c>
      <c r="M850" t="s">
        <v>161</v>
      </c>
      <c r="N850" t="s">
        <v>55</v>
      </c>
      <c r="O850" t="s">
        <v>33</v>
      </c>
      <c r="P850" t="s">
        <v>34</v>
      </c>
      <c r="Q850">
        <v>1</v>
      </c>
      <c r="R850">
        <v>0</v>
      </c>
      <c r="S850" s="2" t="str">
        <f>IFERROR(VLOOKUP(C850,Sheet2!B:E,4,0),C850)</f>
        <v>一般产品</v>
      </c>
    </row>
    <row r="851" spans="1:19" x14ac:dyDescent="0.2">
      <c r="A851" t="s">
        <v>3075</v>
      </c>
      <c r="B851">
        <v>1999</v>
      </c>
      <c r="C851" t="s">
        <v>26</v>
      </c>
      <c r="D851" t="s">
        <v>970</v>
      </c>
      <c r="E851" t="s">
        <v>3076</v>
      </c>
      <c r="F851" t="s">
        <v>1203</v>
      </c>
      <c r="G851" s="2" t="s">
        <v>1204</v>
      </c>
      <c r="H851" t="s">
        <v>18</v>
      </c>
      <c r="I851" t="s">
        <v>167</v>
      </c>
      <c r="J851" t="s">
        <v>168</v>
      </c>
      <c r="K851" t="s">
        <v>930</v>
      </c>
      <c r="L851" t="s">
        <v>930</v>
      </c>
      <c r="M851" t="s">
        <v>937</v>
      </c>
      <c r="N851" t="s">
        <v>68</v>
      </c>
      <c r="O851" t="s">
        <v>33</v>
      </c>
      <c r="P851" t="s">
        <v>34</v>
      </c>
      <c r="Q851">
        <v>1</v>
      </c>
      <c r="R851">
        <v>0</v>
      </c>
      <c r="S851" s="2" t="str">
        <f>IFERROR(VLOOKUP(C851,Sheet2!B:E,4,0),C851)</f>
        <v>一般产品</v>
      </c>
    </row>
    <row r="852" spans="1:19" x14ac:dyDescent="0.2">
      <c r="A852" t="s">
        <v>3077</v>
      </c>
      <c r="B852">
        <v>2999</v>
      </c>
      <c r="C852" t="s">
        <v>26</v>
      </c>
      <c r="D852" t="s">
        <v>2257</v>
      </c>
      <c r="E852" t="s">
        <v>1449</v>
      </c>
      <c r="F852" t="s">
        <v>788</v>
      </c>
      <c r="G852" s="2" t="s">
        <v>789</v>
      </c>
      <c r="H852" t="s">
        <v>28</v>
      </c>
      <c r="I852" t="s">
        <v>351</v>
      </c>
      <c r="J852" t="s">
        <v>352</v>
      </c>
      <c r="K852" t="s">
        <v>930</v>
      </c>
      <c r="L852" t="s">
        <v>930</v>
      </c>
      <c r="M852" t="s">
        <v>353</v>
      </c>
      <c r="N852" t="s">
        <v>146</v>
      </c>
      <c r="O852" t="s">
        <v>33</v>
      </c>
      <c r="P852" t="s">
        <v>34</v>
      </c>
      <c r="Q852">
        <v>1</v>
      </c>
      <c r="R852">
        <v>0</v>
      </c>
      <c r="S852" s="2" t="str">
        <f>IFERROR(VLOOKUP(C852,Sheet2!B:E,4,0),C852)</f>
        <v>一般产品</v>
      </c>
    </row>
    <row r="853" spans="1:19" x14ac:dyDescent="0.2">
      <c r="A853" t="s">
        <v>3078</v>
      </c>
      <c r="B853">
        <v>1099</v>
      </c>
      <c r="C853" t="s">
        <v>589</v>
      </c>
      <c r="D853" t="s">
        <v>971</v>
      </c>
      <c r="E853" t="s">
        <v>660</v>
      </c>
      <c r="F853" t="s">
        <v>189</v>
      </c>
      <c r="G853" s="2" t="s">
        <v>190</v>
      </c>
      <c r="H853" t="s">
        <v>28</v>
      </c>
      <c r="I853" t="s">
        <v>191</v>
      </c>
      <c r="J853" t="s">
        <v>192</v>
      </c>
      <c r="K853" t="s">
        <v>930</v>
      </c>
      <c r="L853" t="s">
        <v>930</v>
      </c>
      <c r="M853" t="s">
        <v>193</v>
      </c>
      <c r="N853" t="s">
        <v>194</v>
      </c>
      <c r="O853" t="s">
        <v>24</v>
      </c>
      <c r="P853" t="s">
        <v>25</v>
      </c>
      <c r="Q853">
        <v>1</v>
      </c>
      <c r="R853">
        <v>0</v>
      </c>
      <c r="S853" s="2" t="str">
        <f>IFERROR(VLOOKUP(C853,Sheet2!B:E,4,0),C853)</f>
        <v>优惠产品</v>
      </c>
    </row>
    <row r="854" spans="1:19" x14ac:dyDescent="0.2">
      <c r="A854" t="s">
        <v>3079</v>
      </c>
      <c r="B854">
        <v>1500</v>
      </c>
      <c r="C854" t="s">
        <v>26</v>
      </c>
      <c r="D854" t="s">
        <v>50</v>
      </c>
      <c r="E854" t="s">
        <v>773</v>
      </c>
      <c r="F854" t="s">
        <v>1306</v>
      </c>
      <c r="G854" s="2" t="s">
        <v>1307</v>
      </c>
      <c r="H854" t="s">
        <v>18</v>
      </c>
      <c r="I854" t="s">
        <v>121</v>
      </c>
      <c r="J854" t="s">
        <v>122</v>
      </c>
      <c r="K854" t="s">
        <v>930</v>
      </c>
      <c r="L854" t="s">
        <v>930</v>
      </c>
      <c r="M854" t="s">
        <v>123</v>
      </c>
      <c r="N854" t="s">
        <v>55</v>
      </c>
      <c r="O854" t="s">
        <v>33</v>
      </c>
      <c r="P854" t="s">
        <v>34</v>
      </c>
      <c r="Q854">
        <v>1</v>
      </c>
      <c r="R854">
        <v>0</v>
      </c>
      <c r="S854" s="2" t="str">
        <f>IFERROR(VLOOKUP(C854,Sheet2!B:E,4,0),C854)</f>
        <v>一般产品</v>
      </c>
    </row>
    <row r="855" spans="1:19" x14ac:dyDescent="0.2">
      <c r="A855" t="s">
        <v>3080</v>
      </c>
      <c r="B855">
        <v>1500</v>
      </c>
      <c r="C855" t="s">
        <v>26</v>
      </c>
      <c r="D855" t="s">
        <v>50</v>
      </c>
      <c r="E855" t="s">
        <v>999</v>
      </c>
      <c r="F855" t="s">
        <v>3081</v>
      </c>
      <c r="G855" s="2" t="s">
        <v>3082</v>
      </c>
      <c r="H855" t="s">
        <v>18</v>
      </c>
      <c r="I855" t="s">
        <v>207</v>
      </c>
      <c r="J855" t="s">
        <v>208</v>
      </c>
      <c r="K855" t="s">
        <v>930</v>
      </c>
      <c r="L855" t="s">
        <v>930</v>
      </c>
      <c r="M855" t="s">
        <v>209</v>
      </c>
      <c r="N855" t="s">
        <v>32</v>
      </c>
      <c r="O855" t="s">
        <v>33</v>
      </c>
      <c r="P855" t="s">
        <v>34</v>
      </c>
      <c r="Q855">
        <v>1</v>
      </c>
      <c r="R855">
        <v>0</v>
      </c>
      <c r="S855" s="2" t="str">
        <f>IFERROR(VLOOKUP(C855,Sheet2!B:E,4,0),C855)</f>
        <v>一般产品</v>
      </c>
    </row>
    <row r="856" spans="1:19" x14ac:dyDescent="0.2">
      <c r="A856" t="s">
        <v>3083</v>
      </c>
      <c r="B856">
        <v>4488</v>
      </c>
      <c r="C856" t="s">
        <v>589</v>
      </c>
      <c r="D856" t="s">
        <v>2257</v>
      </c>
      <c r="E856" t="s">
        <v>1335</v>
      </c>
      <c r="F856" t="s">
        <v>992</v>
      </c>
      <c r="G856" s="2" t="s">
        <v>993</v>
      </c>
      <c r="H856" t="s">
        <v>18</v>
      </c>
      <c r="I856" t="s">
        <v>76</v>
      </c>
      <c r="J856" t="s">
        <v>77</v>
      </c>
      <c r="K856" t="s">
        <v>930</v>
      </c>
      <c r="L856" t="s">
        <v>930</v>
      </c>
      <c r="M856" t="s">
        <v>78</v>
      </c>
      <c r="N856" t="s">
        <v>44</v>
      </c>
      <c r="O856" t="s">
        <v>24</v>
      </c>
      <c r="P856" t="s">
        <v>25</v>
      </c>
      <c r="Q856">
        <v>1</v>
      </c>
      <c r="R856">
        <v>0</v>
      </c>
      <c r="S856" s="2" t="str">
        <f>IFERROR(VLOOKUP(C856,Sheet2!B:E,4,0),C856)</f>
        <v>优惠产品</v>
      </c>
    </row>
    <row r="857" spans="1:19" x14ac:dyDescent="0.2">
      <c r="A857" t="s">
        <v>3084</v>
      </c>
      <c r="B857">
        <v>2500</v>
      </c>
      <c r="C857" t="s">
        <v>26</v>
      </c>
      <c r="D857" t="s">
        <v>50</v>
      </c>
      <c r="E857" t="s">
        <v>1505</v>
      </c>
      <c r="F857" t="s">
        <v>696</v>
      </c>
      <c r="G857" s="2" t="s">
        <v>697</v>
      </c>
      <c r="H857" t="s">
        <v>18</v>
      </c>
      <c r="I857" t="s">
        <v>221</v>
      </c>
      <c r="J857" t="s">
        <v>222</v>
      </c>
      <c r="K857" t="s">
        <v>930</v>
      </c>
      <c r="L857" t="s">
        <v>930</v>
      </c>
      <c r="M857" t="s">
        <v>223</v>
      </c>
      <c r="N857" t="s">
        <v>55</v>
      </c>
      <c r="O857" t="s">
        <v>33</v>
      </c>
      <c r="P857" t="s">
        <v>34</v>
      </c>
      <c r="Q857">
        <v>1</v>
      </c>
      <c r="R857">
        <v>0</v>
      </c>
      <c r="S857" s="2" t="str">
        <f>IFERROR(VLOOKUP(C857,Sheet2!B:E,4,0),C857)</f>
        <v>一般产品</v>
      </c>
    </row>
    <row r="858" spans="1:19" x14ac:dyDescent="0.2">
      <c r="A858" t="s">
        <v>3085</v>
      </c>
      <c r="B858">
        <v>1100</v>
      </c>
      <c r="C858" t="s">
        <v>26</v>
      </c>
      <c r="D858" t="s">
        <v>50</v>
      </c>
      <c r="E858" t="s">
        <v>1189</v>
      </c>
      <c r="F858" t="s">
        <v>1190</v>
      </c>
      <c r="G858" s="2" t="s">
        <v>1191</v>
      </c>
      <c r="H858" t="s">
        <v>18</v>
      </c>
      <c r="I858" t="s">
        <v>221</v>
      </c>
      <c r="J858" t="s">
        <v>222</v>
      </c>
      <c r="K858" t="s">
        <v>930</v>
      </c>
      <c r="L858" t="s">
        <v>930</v>
      </c>
      <c r="M858" t="s">
        <v>223</v>
      </c>
      <c r="N858" t="s">
        <v>55</v>
      </c>
      <c r="O858" t="s">
        <v>33</v>
      </c>
      <c r="P858" t="s">
        <v>34</v>
      </c>
      <c r="Q858">
        <v>1</v>
      </c>
      <c r="R858">
        <v>0</v>
      </c>
      <c r="S858" s="2" t="str">
        <f>IFERROR(VLOOKUP(C858,Sheet2!B:E,4,0),C858)</f>
        <v>一般产品</v>
      </c>
    </row>
    <row r="859" spans="1:19" x14ac:dyDescent="0.2">
      <c r="A859" t="s">
        <v>3086</v>
      </c>
      <c r="B859">
        <v>4000</v>
      </c>
      <c r="C859" t="s">
        <v>26</v>
      </c>
      <c r="D859" t="s">
        <v>50</v>
      </c>
      <c r="E859" t="s">
        <v>629</v>
      </c>
      <c r="F859" t="s">
        <v>630</v>
      </c>
      <c r="G859" s="2" t="s">
        <v>631</v>
      </c>
      <c r="H859" t="s">
        <v>28</v>
      </c>
      <c r="I859" t="s">
        <v>207</v>
      </c>
      <c r="J859" t="s">
        <v>208</v>
      </c>
      <c r="K859" t="s">
        <v>930</v>
      </c>
      <c r="L859" t="s">
        <v>930</v>
      </c>
      <c r="M859" t="s">
        <v>209</v>
      </c>
      <c r="N859" t="s">
        <v>32</v>
      </c>
      <c r="O859" t="s">
        <v>33</v>
      </c>
      <c r="P859" t="s">
        <v>34</v>
      </c>
      <c r="Q859">
        <v>1</v>
      </c>
      <c r="R859">
        <v>0</v>
      </c>
      <c r="S859" s="2" t="str">
        <f>IFERROR(VLOOKUP(C859,Sheet2!B:E,4,0),C859)</f>
        <v>一般产品</v>
      </c>
    </row>
    <row r="860" spans="1:19" x14ac:dyDescent="0.2">
      <c r="A860" t="s">
        <v>3087</v>
      </c>
      <c r="B860">
        <v>1600</v>
      </c>
      <c r="C860" t="s">
        <v>26</v>
      </c>
      <c r="D860" t="s">
        <v>50</v>
      </c>
      <c r="E860" t="s">
        <v>995</v>
      </c>
      <c r="F860" t="s">
        <v>689</v>
      </c>
      <c r="G860" s="2" t="s">
        <v>690</v>
      </c>
      <c r="H860" t="s">
        <v>18</v>
      </c>
      <c r="I860" t="s">
        <v>121</v>
      </c>
      <c r="J860" t="s">
        <v>122</v>
      </c>
      <c r="K860" t="s">
        <v>930</v>
      </c>
      <c r="L860" t="s">
        <v>930</v>
      </c>
      <c r="M860" t="s">
        <v>123</v>
      </c>
      <c r="N860" t="s">
        <v>55</v>
      </c>
      <c r="O860" t="s">
        <v>33</v>
      </c>
      <c r="P860" t="s">
        <v>34</v>
      </c>
      <c r="Q860">
        <v>1</v>
      </c>
      <c r="R860">
        <v>0</v>
      </c>
      <c r="S860" s="2" t="str">
        <f>IFERROR(VLOOKUP(C860,Sheet2!B:E,4,0),C860)</f>
        <v>一般产品</v>
      </c>
    </row>
    <row r="861" spans="1:19" x14ac:dyDescent="0.2">
      <c r="A861" t="s">
        <v>3088</v>
      </c>
      <c r="B861">
        <v>2999</v>
      </c>
      <c r="C861" t="s">
        <v>589</v>
      </c>
      <c r="D861" t="s">
        <v>2257</v>
      </c>
      <c r="E861" t="s">
        <v>1144</v>
      </c>
      <c r="F861" t="s">
        <v>1381</v>
      </c>
      <c r="G861" s="2" t="s">
        <v>1382</v>
      </c>
      <c r="H861" t="s">
        <v>18</v>
      </c>
      <c r="I861" t="s">
        <v>930</v>
      </c>
      <c r="J861" t="s">
        <v>930</v>
      </c>
      <c r="K861" t="s">
        <v>448</v>
      </c>
      <c r="L861" t="s">
        <v>930</v>
      </c>
      <c r="M861" t="s">
        <v>449</v>
      </c>
      <c r="N861" t="s">
        <v>194</v>
      </c>
      <c r="O861" t="s">
        <v>24</v>
      </c>
      <c r="P861" t="s">
        <v>25</v>
      </c>
      <c r="Q861">
        <v>1</v>
      </c>
      <c r="R861">
        <v>0</v>
      </c>
      <c r="S861" s="2" t="str">
        <f>IFERROR(VLOOKUP(C861,Sheet2!B:E,4,0),C861)</f>
        <v>优惠产品</v>
      </c>
    </row>
    <row r="862" spans="1:19" x14ac:dyDescent="0.2">
      <c r="A862" t="s">
        <v>3089</v>
      </c>
      <c r="B862">
        <v>2999</v>
      </c>
      <c r="C862" t="s">
        <v>26</v>
      </c>
      <c r="D862" t="s">
        <v>971</v>
      </c>
      <c r="E862" t="s">
        <v>554</v>
      </c>
      <c r="F862" t="s">
        <v>480</v>
      </c>
      <c r="G862" s="2" t="s">
        <v>481</v>
      </c>
      <c r="H862" t="s">
        <v>18</v>
      </c>
      <c r="I862" t="s">
        <v>260</v>
      </c>
      <c r="J862" t="s">
        <v>261</v>
      </c>
      <c r="K862" t="s">
        <v>930</v>
      </c>
      <c r="L862" t="s">
        <v>930</v>
      </c>
      <c r="M862" t="s">
        <v>262</v>
      </c>
      <c r="N862" t="s">
        <v>45</v>
      </c>
      <c r="O862" t="s">
        <v>48</v>
      </c>
      <c r="P862" t="s">
        <v>49</v>
      </c>
      <c r="Q862">
        <v>1</v>
      </c>
      <c r="R862">
        <v>0</v>
      </c>
      <c r="S862" s="2" t="str">
        <f>IFERROR(VLOOKUP(C862,Sheet2!B:E,4,0),C862)</f>
        <v>一般产品</v>
      </c>
    </row>
    <row r="863" spans="1:19" x14ac:dyDescent="0.2">
      <c r="A863" t="s">
        <v>3090</v>
      </c>
      <c r="B863">
        <v>3980</v>
      </c>
      <c r="C863" t="s">
        <v>575</v>
      </c>
      <c r="D863" t="s">
        <v>971</v>
      </c>
      <c r="E863" t="s">
        <v>150</v>
      </c>
      <c r="F863" t="s">
        <v>3091</v>
      </c>
      <c r="G863" s="2" t="s">
        <v>3092</v>
      </c>
      <c r="H863" t="s">
        <v>18</v>
      </c>
      <c r="I863" t="s">
        <v>151</v>
      </c>
      <c r="J863" t="s">
        <v>152</v>
      </c>
      <c r="K863" t="s">
        <v>930</v>
      </c>
      <c r="L863" t="s">
        <v>930</v>
      </c>
      <c r="M863" t="s">
        <v>153</v>
      </c>
      <c r="N863" t="s">
        <v>61</v>
      </c>
      <c r="O863" t="s">
        <v>129</v>
      </c>
      <c r="P863" t="s">
        <v>25</v>
      </c>
      <c r="Q863">
        <v>1</v>
      </c>
      <c r="R863">
        <v>0</v>
      </c>
      <c r="S863" s="2" t="str">
        <f>IFERROR(VLOOKUP(C863,Sheet2!B:E,4,0),C863)</f>
        <v>优惠产品</v>
      </c>
    </row>
    <row r="864" spans="1:19" x14ac:dyDescent="0.2">
      <c r="A864" t="s">
        <v>3093</v>
      </c>
      <c r="B864">
        <v>899</v>
      </c>
      <c r="C864" t="s">
        <v>26</v>
      </c>
      <c r="D864" t="s">
        <v>2257</v>
      </c>
      <c r="E864" t="s">
        <v>1474</v>
      </c>
      <c r="F864" t="s">
        <v>750</v>
      </c>
      <c r="G864" s="2" t="s">
        <v>751</v>
      </c>
      <c r="H864" t="s">
        <v>28</v>
      </c>
      <c r="I864" t="s">
        <v>930</v>
      </c>
      <c r="J864" t="s">
        <v>930</v>
      </c>
      <c r="K864" t="s">
        <v>471</v>
      </c>
      <c r="L864" t="s">
        <v>930</v>
      </c>
      <c r="M864" t="s">
        <v>472</v>
      </c>
      <c r="N864" t="s">
        <v>47</v>
      </c>
      <c r="O864" t="s">
        <v>33</v>
      </c>
      <c r="P864" t="s">
        <v>34</v>
      </c>
      <c r="Q864">
        <v>1</v>
      </c>
      <c r="R864">
        <v>0</v>
      </c>
      <c r="S864" s="2" t="str">
        <f>IFERROR(VLOOKUP(C864,Sheet2!B:E,4,0),C864)</f>
        <v>一般产品</v>
      </c>
    </row>
    <row r="865" spans="1:19" x14ac:dyDescent="0.2">
      <c r="A865" t="s">
        <v>3094</v>
      </c>
      <c r="B865">
        <v>1600</v>
      </c>
      <c r="C865" t="s">
        <v>26</v>
      </c>
      <c r="D865" t="s">
        <v>50</v>
      </c>
      <c r="E865" t="s">
        <v>3048</v>
      </c>
      <c r="F865" t="s">
        <v>1397</v>
      </c>
      <c r="G865" s="2" t="s">
        <v>1398</v>
      </c>
      <c r="H865" t="s">
        <v>18</v>
      </c>
      <c r="I865" t="s">
        <v>930</v>
      </c>
      <c r="J865" t="s">
        <v>930</v>
      </c>
      <c r="K865" t="s">
        <v>79</v>
      </c>
      <c r="L865" t="s">
        <v>930</v>
      </c>
      <c r="M865" t="s">
        <v>80</v>
      </c>
      <c r="N865" t="s">
        <v>51</v>
      </c>
      <c r="O865" t="s">
        <v>33</v>
      </c>
      <c r="P865" t="s">
        <v>34</v>
      </c>
      <c r="Q865">
        <v>1</v>
      </c>
      <c r="R865">
        <v>0</v>
      </c>
      <c r="S865" s="2" t="str">
        <f>IFERROR(VLOOKUP(C865,Sheet2!B:E,4,0),C865)</f>
        <v>一般产品</v>
      </c>
    </row>
    <row r="866" spans="1:19" x14ac:dyDescent="0.2">
      <c r="A866" t="s">
        <v>3095</v>
      </c>
      <c r="B866">
        <v>1300</v>
      </c>
      <c r="C866" t="s">
        <v>26</v>
      </c>
      <c r="D866" t="s">
        <v>2257</v>
      </c>
      <c r="E866" t="s">
        <v>3096</v>
      </c>
      <c r="F866" t="s">
        <v>1054</v>
      </c>
      <c r="G866" s="2" t="s">
        <v>1055</v>
      </c>
      <c r="H866" t="s">
        <v>28</v>
      </c>
      <c r="I866" t="s">
        <v>167</v>
      </c>
      <c r="J866" t="s">
        <v>168</v>
      </c>
      <c r="K866" t="s">
        <v>930</v>
      </c>
      <c r="L866" t="s">
        <v>930</v>
      </c>
      <c r="M866" t="s">
        <v>937</v>
      </c>
      <c r="N866" t="s">
        <v>68</v>
      </c>
      <c r="O866" t="s">
        <v>33</v>
      </c>
      <c r="P866" t="s">
        <v>34</v>
      </c>
      <c r="Q866">
        <v>1</v>
      </c>
      <c r="R866">
        <v>0</v>
      </c>
      <c r="S866" s="2" t="str">
        <f>IFERROR(VLOOKUP(C866,Sheet2!B:E,4,0),C866)</f>
        <v>一般产品</v>
      </c>
    </row>
    <row r="867" spans="1:19" x14ac:dyDescent="0.2">
      <c r="A867" t="s">
        <v>3097</v>
      </c>
      <c r="B867">
        <v>3200</v>
      </c>
      <c r="C867" t="s">
        <v>26</v>
      </c>
      <c r="D867" t="s">
        <v>50</v>
      </c>
      <c r="E867" t="s">
        <v>816</v>
      </c>
      <c r="F867" t="s">
        <v>1623</v>
      </c>
      <c r="G867" s="2" t="s">
        <v>1133</v>
      </c>
      <c r="H867" t="s">
        <v>18</v>
      </c>
      <c r="I867" t="s">
        <v>198</v>
      </c>
      <c r="J867" t="s">
        <v>199</v>
      </c>
      <c r="K867" t="s">
        <v>930</v>
      </c>
      <c r="L867" t="s">
        <v>930</v>
      </c>
      <c r="M867" t="s">
        <v>1048</v>
      </c>
      <c r="N867" t="s">
        <v>108</v>
      </c>
      <c r="O867" t="s">
        <v>33</v>
      </c>
      <c r="P867" t="s">
        <v>34</v>
      </c>
      <c r="Q867">
        <v>1</v>
      </c>
      <c r="R867">
        <v>0</v>
      </c>
      <c r="S867" s="2" t="str">
        <f>IFERROR(VLOOKUP(C867,Sheet2!B:E,4,0),C867)</f>
        <v>一般产品</v>
      </c>
    </row>
    <row r="868" spans="1:19" x14ac:dyDescent="0.2">
      <c r="A868" t="s">
        <v>3098</v>
      </c>
      <c r="B868">
        <v>1498</v>
      </c>
      <c r="C868" t="s">
        <v>26</v>
      </c>
      <c r="D868" t="s">
        <v>50</v>
      </c>
      <c r="E868" t="s">
        <v>3099</v>
      </c>
      <c r="F868" t="s">
        <v>1567</v>
      </c>
      <c r="G868" s="2" t="s">
        <v>1568</v>
      </c>
      <c r="H868" t="s">
        <v>18</v>
      </c>
      <c r="I868" t="s">
        <v>281</v>
      </c>
      <c r="J868" t="s">
        <v>282</v>
      </c>
      <c r="K868" t="s">
        <v>930</v>
      </c>
      <c r="L868" t="s">
        <v>930</v>
      </c>
      <c r="M868" t="s">
        <v>283</v>
      </c>
      <c r="N868" t="s">
        <v>68</v>
      </c>
      <c r="O868" t="s">
        <v>33</v>
      </c>
      <c r="P868" t="s">
        <v>34</v>
      </c>
      <c r="Q868">
        <v>1</v>
      </c>
      <c r="R868">
        <v>0</v>
      </c>
      <c r="S868" s="2" t="str">
        <f>IFERROR(VLOOKUP(C868,Sheet2!B:E,4,0),C868)</f>
        <v>一般产品</v>
      </c>
    </row>
    <row r="869" spans="1:19" x14ac:dyDescent="0.2">
      <c r="A869" t="s">
        <v>3100</v>
      </c>
      <c r="B869">
        <v>3199</v>
      </c>
      <c r="C869" t="s">
        <v>26</v>
      </c>
      <c r="D869" t="s">
        <v>50</v>
      </c>
      <c r="E869" t="s">
        <v>1219</v>
      </c>
      <c r="F869" t="s">
        <v>831</v>
      </c>
      <c r="G869" s="2" t="s">
        <v>832</v>
      </c>
      <c r="H869" t="s">
        <v>18</v>
      </c>
      <c r="I869" t="s">
        <v>81</v>
      </c>
      <c r="J869" t="s">
        <v>1230</v>
      </c>
      <c r="K869" t="s">
        <v>930</v>
      </c>
      <c r="L869" t="s">
        <v>930</v>
      </c>
      <c r="M869" t="s">
        <v>1231</v>
      </c>
      <c r="N869" t="s">
        <v>68</v>
      </c>
      <c r="O869" t="s">
        <v>33</v>
      </c>
      <c r="P869" t="s">
        <v>34</v>
      </c>
      <c r="Q869">
        <v>1</v>
      </c>
      <c r="R869">
        <v>0</v>
      </c>
      <c r="S869" s="2" t="str">
        <f>IFERROR(VLOOKUP(C869,Sheet2!B:E,4,0),C869)</f>
        <v>一般产品</v>
      </c>
    </row>
    <row r="870" spans="1:19" x14ac:dyDescent="0.2">
      <c r="A870" t="s">
        <v>3101</v>
      </c>
      <c r="B870">
        <v>3000</v>
      </c>
      <c r="C870" t="s">
        <v>26</v>
      </c>
      <c r="D870" t="s">
        <v>50</v>
      </c>
      <c r="E870" t="s">
        <v>1444</v>
      </c>
      <c r="F870" t="s">
        <v>1583</v>
      </c>
      <c r="G870" s="2" t="s">
        <v>1584</v>
      </c>
      <c r="H870" t="s">
        <v>18</v>
      </c>
      <c r="I870" t="s">
        <v>930</v>
      </c>
      <c r="J870" t="s">
        <v>930</v>
      </c>
      <c r="K870" t="s">
        <v>842</v>
      </c>
      <c r="L870" t="s">
        <v>930</v>
      </c>
      <c r="M870" t="s">
        <v>932</v>
      </c>
      <c r="N870" t="s">
        <v>85</v>
      </c>
      <c r="O870" t="s">
        <v>33</v>
      </c>
      <c r="P870" t="s">
        <v>34</v>
      </c>
      <c r="Q870">
        <v>1</v>
      </c>
      <c r="R870">
        <v>0</v>
      </c>
      <c r="S870" s="2" t="str">
        <f>IFERROR(VLOOKUP(C870,Sheet2!B:E,4,0),C870)</f>
        <v>一般产品</v>
      </c>
    </row>
    <row r="871" spans="1:19" x14ac:dyDescent="0.2">
      <c r="A871" t="s">
        <v>3102</v>
      </c>
      <c r="B871">
        <v>3100</v>
      </c>
      <c r="C871" t="s">
        <v>26</v>
      </c>
      <c r="D871" t="s">
        <v>50</v>
      </c>
      <c r="E871" t="s">
        <v>1445</v>
      </c>
      <c r="F871" t="s">
        <v>1092</v>
      </c>
      <c r="G871" s="2" t="s">
        <v>1093</v>
      </c>
      <c r="H871" t="s">
        <v>18</v>
      </c>
      <c r="I871" t="s">
        <v>930</v>
      </c>
      <c r="J871" t="s">
        <v>930</v>
      </c>
      <c r="K871" t="s">
        <v>548</v>
      </c>
      <c r="L871" t="s">
        <v>930</v>
      </c>
      <c r="M871" t="s">
        <v>549</v>
      </c>
      <c r="N871" t="s">
        <v>32</v>
      </c>
      <c r="O871" t="s">
        <v>33</v>
      </c>
      <c r="P871" t="s">
        <v>34</v>
      </c>
      <c r="Q871">
        <v>1</v>
      </c>
      <c r="R871">
        <v>0</v>
      </c>
      <c r="S871" s="2" t="str">
        <f>IFERROR(VLOOKUP(C871,Sheet2!B:E,4,0),C871)</f>
        <v>一般产品</v>
      </c>
    </row>
    <row r="872" spans="1:19" x14ac:dyDescent="0.2">
      <c r="A872" t="s">
        <v>3103</v>
      </c>
      <c r="B872">
        <v>4000</v>
      </c>
      <c r="C872" t="s">
        <v>26</v>
      </c>
      <c r="D872" t="s">
        <v>50</v>
      </c>
      <c r="E872" t="s">
        <v>3104</v>
      </c>
      <c r="F872" t="s">
        <v>3105</v>
      </c>
      <c r="G872" s="2" t="s">
        <v>3106</v>
      </c>
      <c r="H872" t="s">
        <v>28</v>
      </c>
      <c r="I872" t="s">
        <v>88</v>
      </c>
      <c r="J872" t="s">
        <v>89</v>
      </c>
      <c r="K872" t="s">
        <v>930</v>
      </c>
      <c r="L872" t="s">
        <v>930</v>
      </c>
      <c r="M872" t="s">
        <v>933</v>
      </c>
      <c r="N872" t="s">
        <v>32</v>
      </c>
      <c r="O872" t="s">
        <v>33</v>
      </c>
      <c r="P872" t="s">
        <v>34</v>
      </c>
      <c r="Q872">
        <v>1</v>
      </c>
      <c r="R872">
        <v>0</v>
      </c>
      <c r="S872" s="2" t="str">
        <f>IFERROR(VLOOKUP(C872,Sheet2!B:E,4,0),C872)</f>
        <v>一般产品</v>
      </c>
    </row>
    <row r="873" spans="1:19" x14ac:dyDescent="0.2">
      <c r="A873" t="s">
        <v>3107</v>
      </c>
      <c r="B873">
        <v>1600</v>
      </c>
      <c r="C873" t="s">
        <v>26</v>
      </c>
      <c r="D873" t="s">
        <v>50</v>
      </c>
      <c r="E873" t="s">
        <v>210</v>
      </c>
      <c r="F873" t="s">
        <v>86</v>
      </c>
      <c r="G873" s="2" t="s">
        <v>87</v>
      </c>
      <c r="H873" t="s">
        <v>18</v>
      </c>
      <c r="I873" t="s">
        <v>88</v>
      </c>
      <c r="J873" t="s">
        <v>89</v>
      </c>
      <c r="K873" t="s">
        <v>930</v>
      </c>
      <c r="L873" t="s">
        <v>930</v>
      </c>
      <c r="M873" t="s">
        <v>933</v>
      </c>
      <c r="N873" t="s">
        <v>32</v>
      </c>
      <c r="O873" t="s">
        <v>33</v>
      </c>
      <c r="P873" t="s">
        <v>34</v>
      </c>
      <c r="Q873">
        <v>1</v>
      </c>
      <c r="R873">
        <v>0</v>
      </c>
      <c r="S873" s="2" t="str">
        <f>IFERROR(VLOOKUP(C873,Sheet2!B:E,4,0),C873)</f>
        <v>一般产品</v>
      </c>
    </row>
    <row r="874" spans="1:19" x14ac:dyDescent="0.2">
      <c r="A874" t="s">
        <v>3108</v>
      </c>
      <c r="B874">
        <v>2598</v>
      </c>
      <c r="C874" t="s">
        <v>575</v>
      </c>
      <c r="D874" t="s">
        <v>971</v>
      </c>
      <c r="E874" t="s">
        <v>3109</v>
      </c>
      <c r="F874" t="s">
        <v>989</v>
      </c>
      <c r="G874" s="2" t="s">
        <v>990</v>
      </c>
      <c r="H874" t="s">
        <v>18</v>
      </c>
      <c r="I874" t="s">
        <v>169</v>
      </c>
      <c r="J874" t="s">
        <v>170</v>
      </c>
      <c r="K874" t="s">
        <v>930</v>
      </c>
      <c r="L874" t="s">
        <v>930</v>
      </c>
      <c r="M874" t="s">
        <v>171</v>
      </c>
      <c r="N874" t="s">
        <v>38</v>
      </c>
      <c r="O874" t="s">
        <v>39</v>
      </c>
      <c r="P874" t="s">
        <v>25</v>
      </c>
      <c r="Q874">
        <v>1</v>
      </c>
      <c r="R874">
        <v>0</v>
      </c>
      <c r="S874" s="2" t="str">
        <f>IFERROR(VLOOKUP(C874,Sheet2!B:E,4,0),C874)</f>
        <v>优惠产品</v>
      </c>
    </row>
    <row r="875" spans="1:19" x14ac:dyDescent="0.2">
      <c r="A875" t="s">
        <v>3110</v>
      </c>
      <c r="B875">
        <v>3900</v>
      </c>
      <c r="C875" t="s">
        <v>26</v>
      </c>
      <c r="D875" t="s">
        <v>970</v>
      </c>
      <c r="E875" t="s">
        <v>3111</v>
      </c>
      <c r="F875" t="s">
        <v>1618</v>
      </c>
      <c r="G875" s="2" t="s">
        <v>1619</v>
      </c>
      <c r="H875" t="s">
        <v>18</v>
      </c>
      <c r="I875" t="s">
        <v>130</v>
      </c>
      <c r="J875" t="s">
        <v>131</v>
      </c>
      <c r="K875" t="s">
        <v>930</v>
      </c>
      <c r="L875" t="s">
        <v>930</v>
      </c>
      <c r="M875" t="s">
        <v>132</v>
      </c>
      <c r="N875" t="s">
        <v>51</v>
      </c>
      <c r="O875" t="s">
        <v>33</v>
      </c>
      <c r="P875" t="s">
        <v>34</v>
      </c>
      <c r="Q875">
        <v>1</v>
      </c>
      <c r="R875">
        <v>0</v>
      </c>
      <c r="S875" s="2" t="str">
        <f>IFERROR(VLOOKUP(C875,Sheet2!B:E,4,0),C875)</f>
        <v>一般产品</v>
      </c>
    </row>
    <row r="876" spans="1:19" x14ac:dyDescent="0.2">
      <c r="A876" t="s">
        <v>3112</v>
      </c>
      <c r="B876">
        <v>2998</v>
      </c>
      <c r="C876" t="s">
        <v>26</v>
      </c>
      <c r="D876" t="s">
        <v>971</v>
      </c>
      <c r="E876" t="s">
        <v>3113</v>
      </c>
      <c r="F876" t="s">
        <v>325</v>
      </c>
      <c r="G876" s="2" t="s">
        <v>326</v>
      </c>
      <c r="H876" t="s">
        <v>18</v>
      </c>
      <c r="I876" t="s">
        <v>930</v>
      </c>
      <c r="J876" t="s">
        <v>930</v>
      </c>
      <c r="K876" t="s">
        <v>930</v>
      </c>
      <c r="L876" t="s">
        <v>930</v>
      </c>
      <c r="M876" t="s">
        <v>45</v>
      </c>
      <c r="N876" t="s">
        <v>46</v>
      </c>
      <c r="O876" t="s">
        <v>39</v>
      </c>
      <c r="P876" t="s">
        <v>25</v>
      </c>
      <c r="Q876">
        <v>1</v>
      </c>
      <c r="R876">
        <v>0</v>
      </c>
      <c r="S876" s="2" t="str">
        <f>IFERROR(VLOOKUP(C876,Sheet2!B:E,4,0),C876)</f>
        <v>一般产品</v>
      </c>
    </row>
    <row r="877" spans="1:19" x14ac:dyDescent="0.2">
      <c r="A877" t="s">
        <v>3114</v>
      </c>
      <c r="B877">
        <v>2998</v>
      </c>
      <c r="C877" t="s">
        <v>589</v>
      </c>
      <c r="D877" t="s">
        <v>726</v>
      </c>
      <c r="E877" t="s">
        <v>378</v>
      </c>
      <c r="F877" t="s">
        <v>518</v>
      </c>
      <c r="G877" s="2" t="s">
        <v>519</v>
      </c>
      <c r="H877" t="s">
        <v>18</v>
      </c>
      <c r="I877" t="s">
        <v>379</v>
      </c>
      <c r="J877" t="s">
        <v>380</v>
      </c>
      <c r="K877" t="s">
        <v>930</v>
      </c>
      <c r="L877" t="s">
        <v>930</v>
      </c>
      <c r="M877" t="s">
        <v>381</v>
      </c>
      <c r="N877" t="s">
        <v>46</v>
      </c>
      <c r="O877" t="s">
        <v>63</v>
      </c>
      <c r="P877" t="s">
        <v>34</v>
      </c>
      <c r="Q877">
        <v>1</v>
      </c>
      <c r="R877">
        <v>0</v>
      </c>
      <c r="S877" s="2" t="str">
        <f>IFERROR(VLOOKUP(C877,Sheet2!B:E,4,0),C877)</f>
        <v>优惠产品</v>
      </c>
    </row>
    <row r="878" spans="1:19" x14ac:dyDescent="0.2">
      <c r="A878" t="s">
        <v>3115</v>
      </c>
      <c r="B878">
        <v>3700</v>
      </c>
      <c r="C878" t="s">
        <v>26</v>
      </c>
      <c r="D878" t="s">
        <v>970</v>
      </c>
      <c r="E878" t="s">
        <v>539</v>
      </c>
      <c r="F878" t="s">
        <v>1016</v>
      </c>
      <c r="G878" s="2" t="s">
        <v>1017</v>
      </c>
      <c r="H878" t="s">
        <v>18</v>
      </c>
      <c r="I878" t="s">
        <v>121</v>
      </c>
      <c r="J878" t="s">
        <v>122</v>
      </c>
      <c r="K878" t="s">
        <v>930</v>
      </c>
      <c r="L878" t="s">
        <v>930</v>
      </c>
      <c r="M878" t="s">
        <v>123</v>
      </c>
      <c r="N878" t="s">
        <v>55</v>
      </c>
      <c r="O878" t="s">
        <v>33</v>
      </c>
      <c r="P878" t="s">
        <v>34</v>
      </c>
      <c r="Q878">
        <v>1</v>
      </c>
      <c r="R878">
        <v>0</v>
      </c>
      <c r="S878" s="2" t="str">
        <f>IFERROR(VLOOKUP(C878,Sheet2!B:E,4,0),C878)</f>
        <v>一般产品</v>
      </c>
    </row>
    <row r="879" spans="1:19" x14ac:dyDescent="0.2">
      <c r="A879" t="s">
        <v>3116</v>
      </c>
      <c r="B879">
        <v>3000</v>
      </c>
      <c r="C879" t="s">
        <v>26</v>
      </c>
      <c r="D879" t="s">
        <v>970</v>
      </c>
      <c r="E879" t="s">
        <v>210</v>
      </c>
      <c r="F879" t="s">
        <v>967</v>
      </c>
      <c r="G879" s="2" t="s">
        <v>968</v>
      </c>
      <c r="H879" t="s">
        <v>18</v>
      </c>
      <c r="I879" t="s">
        <v>88</v>
      </c>
      <c r="J879" t="s">
        <v>89</v>
      </c>
      <c r="K879" t="s">
        <v>930</v>
      </c>
      <c r="L879" t="s">
        <v>930</v>
      </c>
      <c r="M879" t="s">
        <v>933</v>
      </c>
      <c r="N879" t="s">
        <v>32</v>
      </c>
      <c r="O879" t="s">
        <v>33</v>
      </c>
      <c r="P879" t="s">
        <v>34</v>
      </c>
      <c r="Q879">
        <v>1</v>
      </c>
      <c r="R879">
        <v>0</v>
      </c>
      <c r="S879" s="2" t="str">
        <f>IFERROR(VLOOKUP(C879,Sheet2!B:E,4,0),C879)</f>
        <v>一般产品</v>
      </c>
    </row>
    <row r="880" spans="1:19" x14ac:dyDescent="0.2">
      <c r="A880" t="s">
        <v>3117</v>
      </c>
      <c r="B880">
        <v>2999</v>
      </c>
      <c r="C880" t="s">
        <v>26</v>
      </c>
      <c r="D880" t="s">
        <v>972</v>
      </c>
      <c r="E880" t="s">
        <v>354</v>
      </c>
      <c r="F880" t="s">
        <v>583</v>
      </c>
      <c r="G880" s="2" t="s">
        <v>584</v>
      </c>
      <c r="H880" t="s">
        <v>18</v>
      </c>
      <c r="I880" t="s">
        <v>81</v>
      </c>
      <c r="J880" t="s">
        <v>1230</v>
      </c>
      <c r="K880" t="s">
        <v>930</v>
      </c>
      <c r="L880" t="s">
        <v>930</v>
      </c>
      <c r="M880" t="s">
        <v>1231</v>
      </c>
      <c r="N880" t="s">
        <v>68</v>
      </c>
      <c r="O880" t="s">
        <v>33</v>
      </c>
      <c r="P880" t="s">
        <v>34</v>
      </c>
      <c r="Q880">
        <v>1</v>
      </c>
      <c r="R880">
        <v>0</v>
      </c>
      <c r="S880" s="2" t="str">
        <f>IFERROR(VLOOKUP(C880,Sheet2!B:E,4,0),C880)</f>
        <v>一般产品</v>
      </c>
    </row>
    <row r="881" spans="1:19" x14ac:dyDescent="0.2">
      <c r="A881" t="s">
        <v>3118</v>
      </c>
      <c r="B881">
        <v>3999</v>
      </c>
      <c r="C881" t="s">
        <v>26</v>
      </c>
      <c r="D881" t="s">
        <v>50</v>
      </c>
      <c r="E881" t="s">
        <v>495</v>
      </c>
      <c r="F881" t="s">
        <v>831</v>
      </c>
      <c r="G881" s="2" t="s">
        <v>832</v>
      </c>
      <c r="H881" t="s">
        <v>18</v>
      </c>
      <c r="I881" t="s">
        <v>81</v>
      </c>
      <c r="J881" t="s">
        <v>1230</v>
      </c>
      <c r="K881" t="s">
        <v>930</v>
      </c>
      <c r="L881" t="s">
        <v>930</v>
      </c>
      <c r="M881" t="s">
        <v>1231</v>
      </c>
      <c r="N881" t="s">
        <v>68</v>
      </c>
      <c r="O881" t="s">
        <v>33</v>
      </c>
      <c r="P881" t="s">
        <v>34</v>
      </c>
      <c r="Q881">
        <v>1</v>
      </c>
      <c r="R881">
        <v>0</v>
      </c>
      <c r="S881" s="2" t="str">
        <f>IFERROR(VLOOKUP(C881,Sheet2!B:E,4,0),C881)</f>
        <v>一般产品</v>
      </c>
    </row>
    <row r="882" spans="1:19" x14ac:dyDescent="0.2">
      <c r="A882" t="s">
        <v>3119</v>
      </c>
      <c r="B882">
        <v>3000</v>
      </c>
      <c r="C882" t="s">
        <v>589</v>
      </c>
      <c r="D882" t="s">
        <v>50</v>
      </c>
      <c r="E882" t="s">
        <v>3120</v>
      </c>
      <c r="F882" t="s">
        <v>465</v>
      </c>
      <c r="G882" s="2" t="s">
        <v>466</v>
      </c>
      <c r="H882" t="s">
        <v>18</v>
      </c>
      <c r="I882" t="s">
        <v>156</v>
      </c>
      <c r="J882" t="s">
        <v>157</v>
      </c>
      <c r="K882" t="s">
        <v>930</v>
      </c>
      <c r="L882" t="s">
        <v>930</v>
      </c>
      <c r="M882" t="s">
        <v>158</v>
      </c>
      <c r="N882" t="s">
        <v>146</v>
      </c>
      <c r="O882" t="s">
        <v>33</v>
      </c>
      <c r="P882" t="s">
        <v>34</v>
      </c>
      <c r="Q882">
        <v>1</v>
      </c>
      <c r="R882">
        <v>0</v>
      </c>
      <c r="S882" s="2" t="str">
        <f>IFERROR(VLOOKUP(C882,Sheet2!B:E,4,0),C882)</f>
        <v>优惠产品</v>
      </c>
    </row>
    <row r="883" spans="1:19" x14ac:dyDescent="0.2">
      <c r="A883" t="s">
        <v>3121</v>
      </c>
      <c r="B883">
        <v>2499</v>
      </c>
      <c r="C883" t="s">
        <v>575</v>
      </c>
      <c r="D883" t="s">
        <v>50</v>
      </c>
      <c r="E883" t="s">
        <v>3122</v>
      </c>
      <c r="F883" t="s">
        <v>778</v>
      </c>
      <c r="G883" s="2" t="s">
        <v>779</v>
      </c>
      <c r="H883" t="s">
        <v>18</v>
      </c>
      <c r="I883" t="s">
        <v>76</v>
      </c>
      <c r="J883" t="s">
        <v>77</v>
      </c>
      <c r="K883" t="s">
        <v>930</v>
      </c>
      <c r="L883" t="s">
        <v>930</v>
      </c>
      <c r="M883" t="s">
        <v>78</v>
      </c>
      <c r="N883" t="s">
        <v>44</v>
      </c>
      <c r="O883" t="s">
        <v>24</v>
      </c>
      <c r="P883" t="s">
        <v>25</v>
      </c>
      <c r="Q883">
        <v>1</v>
      </c>
      <c r="R883">
        <v>0</v>
      </c>
      <c r="S883" s="2" t="str">
        <f>IFERROR(VLOOKUP(C883,Sheet2!B:E,4,0),C883)</f>
        <v>优惠产品</v>
      </c>
    </row>
    <row r="884" spans="1:19" x14ac:dyDescent="0.2">
      <c r="A884" t="s">
        <v>3123</v>
      </c>
      <c r="B884">
        <v>2800</v>
      </c>
      <c r="C884" t="s">
        <v>26</v>
      </c>
      <c r="D884" t="s">
        <v>50</v>
      </c>
      <c r="E884" t="s">
        <v>2437</v>
      </c>
      <c r="F884" t="s">
        <v>2438</v>
      </c>
      <c r="G884" s="2" t="s">
        <v>2439</v>
      </c>
      <c r="H884" t="s">
        <v>18</v>
      </c>
      <c r="I884" t="s">
        <v>56</v>
      </c>
      <c r="J884" t="s">
        <v>57</v>
      </c>
      <c r="K884" t="s">
        <v>930</v>
      </c>
      <c r="L884" t="s">
        <v>930</v>
      </c>
      <c r="M884" t="s">
        <v>58</v>
      </c>
      <c r="N884" t="s">
        <v>108</v>
      </c>
      <c r="O884" t="s">
        <v>33</v>
      </c>
      <c r="P884" t="s">
        <v>34</v>
      </c>
      <c r="Q884">
        <v>1</v>
      </c>
      <c r="R884">
        <v>0</v>
      </c>
      <c r="S884" s="2" t="str">
        <f>IFERROR(VLOOKUP(C884,Sheet2!B:E,4,0),C884)</f>
        <v>一般产品</v>
      </c>
    </row>
    <row r="885" spans="1:19" x14ac:dyDescent="0.2">
      <c r="A885" t="s">
        <v>3124</v>
      </c>
      <c r="B885">
        <v>2888</v>
      </c>
      <c r="C885" t="s">
        <v>589</v>
      </c>
      <c r="D885" t="s">
        <v>2257</v>
      </c>
      <c r="E885" t="s">
        <v>276</v>
      </c>
      <c r="F885" t="s">
        <v>685</v>
      </c>
      <c r="G885" s="2" t="s">
        <v>686</v>
      </c>
      <c r="H885" t="s">
        <v>18</v>
      </c>
      <c r="I885" t="s">
        <v>277</v>
      </c>
      <c r="J885" t="s">
        <v>278</v>
      </c>
      <c r="K885" t="s">
        <v>930</v>
      </c>
      <c r="L885" t="s">
        <v>930</v>
      </c>
      <c r="M885" t="s">
        <v>279</v>
      </c>
      <c r="N885" t="s">
        <v>44</v>
      </c>
      <c r="O885" t="s">
        <v>24</v>
      </c>
      <c r="P885" t="s">
        <v>25</v>
      </c>
      <c r="Q885">
        <v>1</v>
      </c>
      <c r="R885">
        <v>0</v>
      </c>
      <c r="S885" s="2" t="str">
        <f>IFERROR(VLOOKUP(C885,Sheet2!B:E,4,0),C885)</f>
        <v>优惠产品</v>
      </c>
    </row>
    <row r="886" spans="1:19" x14ac:dyDescent="0.2">
      <c r="A886" t="s">
        <v>3125</v>
      </c>
      <c r="B886">
        <v>2000</v>
      </c>
      <c r="C886" t="s">
        <v>575</v>
      </c>
      <c r="D886" t="s">
        <v>50</v>
      </c>
      <c r="E886" t="s">
        <v>1967</v>
      </c>
      <c r="F886" t="s">
        <v>960</v>
      </c>
      <c r="G886" s="2" t="s">
        <v>808</v>
      </c>
      <c r="H886" t="s">
        <v>18</v>
      </c>
      <c r="I886" t="s">
        <v>930</v>
      </c>
      <c r="J886" t="s">
        <v>930</v>
      </c>
      <c r="K886" t="s">
        <v>756</v>
      </c>
      <c r="L886" t="s">
        <v>930</v>
      </c>
      <c r="M886" t="s">
        <v>757</v>
      </c>
      <c r="N886" t="s">
        <v>62</v>
      </c>
      <c r="O886" t="s">
        <v>117</v>
      </c>
      <c r="P886" t="s">
        <v>34</v>
      </c>
      <c r="Q886">
        <v>1</v>
      </c>
      <c r="R886">
        <v>0</v>
      </c>
      <c r="S886" s="2" t="str">
        <f>IFERROR(VLOOKUP(C886,Sheet2!B:E,4,0),C886)</f>
        <v>优惠产品</v>
      </c>
    </row>
    <row r="887" spans="1:19" x14ac:dyDescent="0.2">
      <c r="A887" t="s">
        <v>3126</v>
      </c>
      <c r="B887">
        <v>2999</v>
      </c>
      <c r="C887" t="s">
        <v>26</v>
      </c>
      <c r="D887" t="s">
        <v>726</v>
      </c>
      <c r="E887" t="s">
        <v>1322</v>
      </c>
      <c r="F887" t="s">
        <v>1323</v>
      </c>
      <c r="G887" s="2" t="s">
        <v>1324</v>
      </c>
      <c r="H887" t="s">
        <v>28</v>
      </c>
      <c r="I887" t="s">
        <v>298</v>
      </c>
      <c r="J887" t="s">
        <v>299</v>
      </c>
      <c r="K887" t="s">
        <v>930</v>
      </c>
      <c r="L887" t="s">
        <v>930</v>
      </c>
      <c r="M887" t="s">
        <v>300</v>
      </c>
      <c r="N887" t="s">
        <v>46</v>
      </c>
      <c r="O887" t="s">
        <v>63</v>
      </c>
      <c r="P887" t="s">
        <v>34</v>
      </c>
      <c r="Q887">
        <v>1</v>
      </c>
      <c r="R887">
        <v>0</v>
      </c>
      <c r="S887" s="2" t="str">
        <f>IFERROR(VLOOKUP(C887,Sheet2!B:E,4,0),C887)</f>
        <v>一般产品</v>
      </c>
    </row>
    <row r="888" spans="1:19" x14ac:dyDescent="0.2">
      <c r="A888" t="s">
        <v>3127</v>
      </c>
      <c r="B888">
        <v>5000</v>
      </c>
      <c r="C888" t="s">
        <v>26</v>
      </c>
      <c r="D888" t="s">
        <v>970</v>
      </c>
      <c r="E888" t="s">
        <v>843</v>
      </c>
      <c r="F888" t="s">
        <v>1016</v>
      </c>
      <c r="G888" s="2" t="s">
        <v>1017</v>
      </c>
      <c r="H888" t="s">
        <v>18</v>
      </c>
      <c r="I888" t="s">
        <v>121</v>
      </c>
      <c r="J888" t="s">
        <v>122</v>
      </c>
      <c r="K888" t="s">
        <v>930</v>
      </c>
      <c r="L888" t="s">
        <v>930</v>
      </c>
      <c r="M888" t="s">
        <v>123</v>
      </c>
      <c r="N888" t="s">
        <v>55</v>
      </c>
      <c r="O888" t="s">
        <v>33</v>
      </c>
      <c r="P888" t="s">
        <v>34</v>
      </c>
      <c r="Q888">
        <v>1</v>
      </c>
      <c r="R888">
        <v>0</v>
      </c>
      <c r="S888" s="2" t="str">
        <f>IFERROR(VLOOKUP(C888,Sheet2!B:E,4,0),C888)</f>
        <v>一般产品</v>
      </c>
    </row>
    <row r="889" spans="1:19" x14ac:dyDescent="0.2">
      <c r="A889" t="s">
        <v>3128</v>
      </c>
      <c r="B889">
        <v>2599</v>
      </c>
      <c r="C889" t="s">
        <v>575</v>
      </c>
      <c r="D889" t="s">
        <v>50</v>
      </c>
      <c r="E889" t="s">
        <v>1740</v>
      </c>
      <c r="F889" t="s">
        <v>1421</v>
      </c>
      <c r="G889" s="2" t="s">
        <v>1422</v>
      </c>
      <c r="H889" t="s">
        <v>18</v>
      </c>
      <c r="I889" t="s">
        <v>20</v>
      </c>
      <c r="J889" t="s">
        <v>21</v>
      </c>
      <c r="K889" t="s">
        <v>930</v>
      </c>
      <c r="L889" t="s">
        <v>930</v>
      </c>
      <c r="M889" t="s">
        <v>22</v>
      </c>
      <c r="N889" t="s">
        <v>23</v>
      </c>
      <c r="O889" t="s">
        <v>24</v>
      </c>
      <c r="P889" t="s">
        <v>25</v>
      </c>
      <c r="Q889">
        <v>1</v>
      </c>
      <c r="R889">
        <v>0</v>
      </c>
      <c r="S889" s="2" t="str">
        <f>IFERROR(VLOOKUP(C889,Sheet2!B:E,4,0),C889)</f>
        <v>优惠产品</v>
      </c>
    </row>
    <row r="890" spans="1:19" x14ac:dyDescent="0.2">
      <c r="A890" t="s">
        <v>3129</v>
      </c>
      <c r="B890">
        <v>3149</v>
      </c>
      <c r="C890" t="s">
        <v>589</v>
      </c>
      <c r="D890" t="s">
        <v>972</v>
      </c>
      <c r="E890" t="s">
        <v>1391</v>
      </c>
      <c r="F890" t="s">
        <v>1262</v>
      </c>
      <c r="G890" s="2" t="s">
        <v>1263</v>
      </c>
      <c r="H890" t="s">
        <v>18</v>
      </c>
      <c r="I890" t="s">
        <v>930</v>
      </c>
      <c r="J890" t="s">
        <v>930</v>
      </c>
      <c r="K890" t="s">
        <v>930</v>
      </c>
      <c r="L890" t="s">
        <v>930</v>
      </c>
      <c r="M890" t="s">
        <v>59</v>
      </c>
      <c r="N890" t="s">
        <v>194</v>
      </c>
      <c r="O890" t="s">
        <v>24</v>
      </c>
      <c r="P890" t="s">
        <v>25</v>
      </c>
      <c r="Q890">
        <v>1</v>
      </c>
      <c r="R890">
        <v>0</v>
      </c>
      <c r="S890" s="2" t="str">
        <f>IFERROR(VLOOKUP(C890,Sheet2!B:E,4,0),C890)</f>
        <v>优惠产品</v>
      </c>
    </row>
    <row r="891" spans="1:19" x14ac:dyDescent="0.2">
      <c r="A891" t="s">
        <v>3130</v>
      </c>
      <c r="B891">
        <v>2500</v>
      </c>
      <c r="C891" t="s">
        <v>26</v>
      </c>
      <c r="D891" t="s">
        <v>50</v>
      </c>
      <c r="E891" t="s">
        <v>3131</v>
      </c>
      <c r="F891" t="s">
        <v>1298</v>
      </c>
      <c r="G891" s="2" t="s">
        <v>1299</v>
      </c>
      <c r="H891" t="s">
        <v>18</v>
      </c>
      <c r="I891" t="s">
        <v>198</v>
      </c>
      <c r="J891" t="s">
        <v>199</v>
      </c>
      <c r="K891" t="s">
        <v>930</v>
      </c>
      <c r="L891" t="s">
        <v>930</v>
      </c>
      <c r="M891" t="s">
        <v>1048</v>
      </c>
      <c r="N891" t="s">
        <v>108</v>
      </c>
      <c r="O891" t="s">
        <v>33</v>
      </c>
      <c r="P891" t="s">
        <v>34</v>
      </c>
      <c r="Q891">
        <v>1</v>
      </c>
      <c r="R891">
        <v>0</v>
      </c>
      <c r="S891" s="2" t="str">
        <f>IFERROR(VLOOKUP(C891,Sheet2!B:E,4,0),C891)</f>
        <v>一般产品</v>
      </c>
    </row>
    <row r="892" spans="1:19" x14ac:dyDescent="0.2">
      <c r="A892" t="s">
        <v>3132</v>
      </c>
      <c r="B892">
        <v>2298</v>
      </c>
      <c r="C892" t="s">
        <v>589</v>
      </c>
      <c r="D892" t="s">
        <v>972</v>
      </c>
      <c r="E892" t="s">
        <v>276</v>
      </c>
      <c r="F892" t="s">
        <v>399</v>
      </c>
      <c r="G892" s="2" t="s">
        <v>400</v>
      </c>
      <c r="H892" t="s">
        <v>18</v>
      </c>
      <c r="I892" t="s">
        <v>277</v>
      </c>
      <c r="J892" t="s">
        <v>278</v>
      </c>
      <c r="K892" t="s">
        <v>930</v>
      </c>
      <c r="L892" t="s">
        <v>930</v>
      </c>
      <c r="M892" t="s">
        <v>279</v>
      </c>
      <c r="N892" t="s">
        <v>44</v>
      </c>
      <c r="O892" t="s">
        <v>24</v>
      </c>
      <c r="P892" t="s">
        <v>25</v>
      </c>
      <c r="Q892">
        <v>1</v>
      </c>
      <c r="R892">
        <v>0</v>
      </c>
      <c r="S892" s="2" t="str">
        <f>IFERROR(VLOOKUP(C892,Sheet2!B:E,4,0),C892)</f>
        <v>优惠产品</v>
      </c>
    </row>
    <row r="893" spans="1:19" x14ac:dyDescent="0.2">
      <c r="A893" t="s">
        <v>3133</v>
      </c>
      <c r="B893">
        <v>2999</v>
      </c>
      <c r="C893" t="s">
        <v>580</v>
      </c>
      <c r="D893" t="s">
        <v>970</v>
      </c>
      <c r="E893" t="s">
        <v>3134</v>
      </c>
      <c r="F893" t="s">
        <v>564</v>
      </c>
      <c r="G893" s="2" t="s">
        <v>565</v>
      </c>
      <c r="H893" t="s">
        <v>28</v>
      </c>
      <c r="I893" t="s">
        <v>182</v>
      </c>
      <c r="J893" t="s">
        <v>183</v>
      </c>
      <c r="K893" t="s">
        <v>930</v>
      </c>
      <c r="L893" t="s">
        <v>930</v>
      </c>
      <c r="M893" t="s">
        <v>184</v>
      </c>
      <c r="N893" t="s">
        <v>85</v>
      </c>
      <c r="O893" t="s">
        <v>33</v>
      </c>
      <c r="P893" t="s">
        <v>34</v>
      </c>
      <c r="Q893">
        <v>1</v>
      </c>
      <c r="R893">
        <v>0</v>
      </c>
      <c r="S893" s="2" t="str">
        <f>IFERROR(VLOOKUP(C893,Sheet2!B:E,4,0),C893)</f>
        <v>10期贷</v>
      </c>
    </row>
    <row r="894" spans="1:19" x14ac:dyDescent="0.2">
      <c r="A894" t="s">
        <v>3135</v>
      </c>
      <c r="B894">
        <v>1104</v>
      </c>
      <c r="C894" t="s">
        <v>26</v>
      </c>
      <c r="D894" t="s">
        <v>50</v>
      </c>
      <c r="E894" t="s">
        <v>3136</v>
      </c>
      <c r="F894" t="s">
        <v>747</v>
      </c>
      <c r="G894" s="2" t="s">
        <v>748</v>
      </c>
      <c r="H894" t="s">
        <v>18</v>
      </c>
      <c r="I894" t="s">
        <v>118</v>
      </c>
      <c r="J894" t="s">
        <v>119</v>
      </c>
      <c r="K894" t="s">
        <v>930</v>
      </c>
      <c r="L894" t="s">
        <v>930</v>
      </c>
      <c r="M894" t="s">
        <v>120</v>
      </c>
      <c r="N894" t="s">
        <v>85</v>
      </c>
      <c r="O894" t="s">
        <v>33</v>
      </c>
      <c r="P894" t="s">
        <v>34</v>
      </c>
      <c r="Q894">
        <v>1</v>
      </c>
      <c r="R894">
        <v>0</v>
      </c>
      <c r="S894" s="2" t="str">
        <f>IFERROR(VLOOKUP(C894,Sheet2!B:E,4,0),C894)</f>
        <v>一般产品</v>
      </c>
    </row>
    <row r="895" spans="1:19" x14ac:dyDescent="0.2">
      <c r="A895" t="s">
        <v>3137</v>
      </c>
      <c r="B895">
        <v>2498</v>
      </c>
      <c r="C895" t="s">
        <v>26</v>
      </c>
      <c r="D895" t="s">
        <v>2257</v>
      </c>
      <c r="E895" t="s">
        <v>734</v>
      </c>
      <c r="F895" t="s">
        <v>1178</v>
      </c>
      <c r="G895" s="2" t="s">
        <v>1179</v>
      </c>
      <c r="H895" t="s">
        <v>18</v>
      </c>
      <c r="I895" t="s">
        <v>103</v>
      </c>
      <c r="J895" t="s">
        <v>104</v>
      </c>
      <c r="K895" t="s">
        <v>930</v>
      </c>
      <c r="L895" t="s">
        <v>930</v>
      </c>
      <c r="M895" t="s">
        <v>105</v>
      </c>
      <c r="N895" t="s">
        <v>47</v>
      </c>
      <c r="O895" t="s">
        <v>33</v>
      </c>
      <c r="P895" t="s">
        <v>34</v>
      </c>
      <c r="Q895">
        <v>1</v>
      </c>
      <c r="R895">
        <v>0</v>
      </c>
      <c r="S895" s="2" t="str">
        <f>IFERROR(VLOOKUP(C895,Sheet2!B:E,4,0),C895)</f>
        <v>一般产品</v>
      </c>
    </row>
    <row r="896" spans="1:19" x14ac:dyDescent="0.2">
      <c r="A896" t="s">
        <v>3138</v>
      </c>
      <c r="B896">
        <v>2600</v>
      </c>
      <c r="C896" t="s">
        <v>589</v>
      </c>
      <c r="D896" t="s">
        <v>50</v>
      </c>
      <c r="E896" t="s">
        <v>1141</v>
      </c>
      <c r="F896" t="s">
        <v>1006</v>
      </c>
      <c r="G896" s="2" t="s">
        <v>1007</v>
      </c>
      <c r="H896" t="s">
        <v>18</v>
      </c>
      <c r="I896" t="s">
        <v>930</v>
      </c>
      <c r="J896" t="s">
        <v>930</v>
      </c>
      <c r="K896" t="s">
        <v>1225</v>
      </c>
      <c r="L896" t="s">
        <v>930</v>
      </c>
      <c r="M896" t="s">
        <v>1226</v>
      </c>
      <c r="N896" t="s">
        <v>44</v>
      </c>
      <c r="O896" t="s">
        <v>24</v>
      </c>
      <c r="P896" t="s">
        <v>25</v>
      </c>
      <c r="Q896">
        <v>1</v>
      </c>
      <c r="R896">
        <v>0</v>
      </c>
      <c r="S896" s="2" t="str">
        <f>IFERROR(VLOOKUP(C896,Sheet2!B:E,4,0),C896)</f>
        <v>优惠产品</v>
      </c>
    </row>
    <row r="897" spans="1:19" x14ac:dyDescent="0.2">
      <c r="A897" t="s">
        <v>3139</v>
      </c>
      <c r="B897">
        <v>2250</v>
      </c>
      <c r="C897" t="s">
        <v>26</v>
      </c>
      <c r="D897" t="s">
        <v>726</v>
      </c>
      <c r="E897" t="s">
        <v>2518</v>
      </c>
      <c r="F897" t="s">
        <v>391</v>
      </c>
      <c r="G897" s="2" t="s">
        <v>392</v>
      </c>
      <c r="H897" t="s">
        <v>18</v>
      </c>
      <c r="I897" t="s">
        <v>934</v>
      </c>
      <c r="J897" t="s">
        <v>935</v>
      </c>
      <c r="K897" t="s">
        <v>930</v>
      </c>
      <c r="L897" t="s">
        <v>930</v>
      </c>
      <c r="M897" t="s">
        <v>936</v>
      </c>
      <c r="N897" t="s">
        <v>45</v>
      </c>
      <c r="O897" t="s">
        <v>48</v>
      </c>
      <c r="P897" t="s">
        <v>49</v>
      </c>
      <c r="Q897">
        <v>1</v>
      </c>
      <c r="R897">
        <v>0</v>
      </c>
      <c r="S897" s="2" t="str">
        <f>IFERROR(VLOOKUP(C897,Sheet2!B:E,4,0),C897)</f>
        <v>一般产品</v>
      </c>
    </row>
    <row r="898" spans="1:19" x14ac:dyDescent="0.2">
      <c r="A898" t="s">
        <v>3140</v>
      </c>
      <c r="B898">
        <v>5699</v>
      </c>
      <c r="C898" t="s">
        <v>589</v>
      </c>
      <c r="D898" t="s">
        <v>972</v>
      </c>
      <c r="E898" t="s">
        <v>738</v>
      </c>
      <c r="F898" t="s">
        <v>739</v>
      </c>
      <c r="G898" s="2" t="s">
        <v>740</v>
      </c>
      <c r="H898" t="s">
        <v>18</v>
      </c>
      <c r="I898" t="s">
        <v>301</v>
      </c>
      <c r="J898" t="s">
        <v>302</v>
      </c>
      <c r="K898" t="s">
        <v>930</v>
      </c>
      <c r="L898" t="s">
        <v>930</v>
      </c>
      <c r="M898" t="s">
        <v>303</v>
      </c>
      <c r="N898" t="s">
        <v>194</v>
      </c>
      <c r="O898" t="s">
        <v>24</v>
      </c>
      <c r="P898" t="s">
        <v>25</v>
      </c>
      <c r="Q898">
        <v>1</v>
      </c>
      <c r="R898">
        <v>0</v>
      </c>
      <c r="S898" s="2" t="str">
        <f>IFERROR(VLOOKUP(C898,Sheet2!B:E,4,0),C898)</f>
        <v>优惠产品</v>
      </c>
    </row>
    <row r="899" spans="1:19" x14ac:dyDescent="0.2">
      <c r="A899" t="s">
        <v>3141</v>
      </c>
      <c r="B899">
        <v>2500</v>
      </c>
      <c r="C899" t="s">
        <v>26</v>
      </c>
      <c r="D899" t="s">
        <v>50</v>
      </c>
      <c r="E899" t="s">
        <v>1197</v>
      </c>
      <c r="F899" t="s">
        <v>626</v>
      </c>
      <c r="G899" s="2" t="s">
        <v>627</v>
      </c>
      <c r="H899" t="s">
        <v>18</v>
      </c>
      <c r="I899" t="s">
        <v>107</v>
      </c>
      <c r="J899" t="s">
        <v>1046</v>
      </c>
      <c r="K899" t="s">
        <v>930</v>
      </c>
      <c r="L899" t="s">
        <v>930</v>
      </c>
      <c r="M899" t="s">
        <v>1047</v>
      </c>
      <c r="N899" t="s">
        <v>108</v>
      </c>
      <c r="O899" t="s">
        <v>33</v>
      </c>
      <c r="P899" t="s">
        <v>34</v>
      </c>
      <c r="Q899">
        <v>1</v>
      </c>
      <c r="R899">
        <v>0</v>
      </c>
      <c r="S899" s="2" t="str">
        <f>IFERROR(VLOOKUP(C899,Sheet2!B:E,4,0),C899)</f>
        <v>一般产品</v>
      </c>
    </row>
    <row r="900" spans="1:19" x14ac:dyDescent="0.2">
      <c r="A900" t="s">
        <v>3142</v>
      </c>
      <c r="B900">
        <v>1998</v>
      </c>
      <c r="C900" t="s">
        <v>26</v>
      </c>
      <c r="D900" t="s">
        <v>972</v>
      </c>
      <c r="E900" t="s">
        <v>3143</v>
      </c>
      <c r="F900" t="s">
        <v>1317</v>
      </c>
      <c r="G900" s="2" t="s">
        <v>1318</v>
      </c>
      <c r="H900" t="s">
        <v>18</v>
      </c>
      <c r="I900" t="s">
        <v>930</v>
      </c>
      <c r="J900" t="s">
        <v>930</v>
      </c>
      <c r="K900" t="s">
        <v>274</v>
      </c>
      <c r="L900" t="s">
        <v>930</v>
      </c>
      <c r="M900" t="s">
        <v>275</v>
      </c>
      <c r="N900" t="s">
        <v>60</v>
      </c>
      <c r="O900" t="s">
        <v>72</v>
      </c>
      <c r="P900" t="s">
        <v>34</v>
      </c>
      <c r="Q900">
        <v>1</v>
      </c>
      <c r="R900">
        <v>0</v>
      </c>
      <c r="S900" s="2" t="str">
        <f>IFERROR(VLOOKUP(C900,Sheet2!B:E,4,0),C900)</f>
        <v>一般产品</v>
      </c>
    </row>
    <row r="901" spans="1:19" x14ac:dyDescent="0.2">
      <c r="A901" t="s">
        <v>3144</v>
      </c>
      <c r="B901">
        <v>2200</v>
      </c>
      <c r="C901" t="s">
        <v>26</v>
      </c>
      <c r="D901" t="s">
        <v>970</v>
      </c>
      <c r="E901" t="s">
        <v>1188</v>
      </c>
      <c r="F901" t="s">
        <v>1199</v>
      </c>
      <c r="G901" s="2" t="s">
        <v>1200</v>
      </c>
      <c r="H901" t="s">
        <v>18</v>
      </c>
      <c r="I901" t="s">
        <v>286</v>
      </c>
      <c r="J901" t="s">
        <v>287</v>
      </c>
      <c r="K901" t="s">
        <v>930</v>
      </c>
      <c r="L901" t="s">
        <v>930</v>
      </c>
      <c r="M901" t="s">
        <v>288</v>
      </c>
      <c r="N901" t="s">
        <v>85</v>
      </c>
      <c r="O901" t="s">
        <v>33</v>
      </c>
      <c r="P901" t="s">
        <v>34</v>
      </c>
      <c r="Q901">
        <v>1</v>
      </c>
      <c r="R901">
        <v>0</v>
      </c>
      <c r="S901" s="2" t="str">
        <f>IFERROR(VLOOKUP(C901,Sheet2!B:E,4,0),C901)</f>
        <v>一般产品</v>
      </c>
    </row>
    <row r="902" spans="1:19" x14ac:dyDescent="0.2">
      <c r="A902" t="s">
        <v>3145</v>
      </c>
      <c r="B902">
        <v>4000</v>
      </c>
      <c r="C902" t="s">
        <v>26</v>
      </c>
      <c r="D902" t="s">
        <v>970</v>
      </c>
      <c r="E902" t="s">
        <v>647</v>
      </c>
      <c r="F902" t="s">
        <v>648</v>
      </c>
      <c r="G902" s="2" t="s">
        <v>649</v>
      </c>
      <c r="H902" t="s">
        <v>18</v>
      </c>
      <c r="I902" t="s">
        <v>88</v>
      </c>
      <c r="J902" t="s">
        <v>89</v>
      </c>
      <c r="K902" t="s">
        <v>930</v>
      </c>
      <c r="L902" t="s">
        <v>930</v>
      </c>
      <c r="M902" t="s">
        <v>933</v>
      </c>
      <c r="N902" t="s">
        <v>32</v>
      </c>
      <c r="O902" t="s">
        <v>33</v>
      </c>
      <c r="P902" t="s">
        <v>34</v>
      </c>
      <c r="Q902">
        <v>1</v>
      </c>
      <c r="R902">
        <v>0</v>
      </c>
      <c r="S902" s="2" t="str">
        <f>IFERROR(VLOOKUP(C902,Sheet2!B:E,4,0),C902)</f>
        <v>一般产品</v>
      </c>
    </row>
    <row r="903" spans="1:19" x14ac:dyDescent="0.2">
      <c r="A903" t="s">
        <v>3146</v>
      </c>
      <c r="B903">
        <v>2500</v>
      </c>
      <c r="C903" t="s">
        <v>26</v>
      </c>
      <c r="D903" t="s">
        <v>50</v>
      </c>
      <c r="E903" t="s">
        <v>995</v>
      </c>
      <c r="F903" t="s">
        <v>689</v>
      </c>
      <c r="G903" s="2" t="s">
        <v>690</v>
      </c>
      <c r="H903" t="s">
        <v>18</v>
      </c>
      <c r="I903" t="s">
        <v>121</v>
      </c>
      <c r="J903" t="s">
        <v>122</v>
      </c>
      <c r="K903" t="s">
        <v>930</v>
      </c>
      <c r="L903" t="s">
        <v>930</v>
      </c>
      <c r="M903" t="s">
        <v>123</v>
      </c>
      <c r="N903" t="s">
        <v>55</v>
      </c>
      <c r="O903" t="s">
        <v>33</v>
      </c>
      <c r="P903" t="s">
        <v>34</v>
      </c>
      <c r="Q903">
        <v>1</v>
      </c>
      <c r="R903">
        <v>0</v>
      </c>
      <c r="S903" s="2" t="str">
        <f>IFERROR(VLOOKUP(C903,Sheet2!B:E,4,0),C903)</f>
        <v>一般产品</v>
      </c>
    </row>
    <row r="904" spans="1:19" x14ac:dyDescent="0.2">
      <c r="A904" t="s">
        <v>3147</v>
      </c>
      <c r="B904">
        <v>3500</v>
      </c>
      <c r="C904" t="s">
        <v>26</v>
      </c>
      <c r="D904" t="s">
        <v>50</v>
      </c>
      <c r="E904" t="s">
        <v>1362</v>
      </c>
      <c r="F904" t="s">
        <v>331</v>
      </c>
      <c r="G904" s="2" t="s">
        <v>332</v>
      </c>
      <c r="H904" t="s">
        <v>18</v>
      </c>
      <c r="I904" t="s">
        <v>159</v>
      </c>
      <c r="J904" t="s">
        <v>160</v>
      </c>
      <c r="K904" t="s">
        <v>930</v>
      </c>
      <c r="L904" t="s">
        <v>930</v>
      </c>
      <c r="M904" t="s">
        <v>161</v>
      </c>
      <c r="N904" t="s">
        <v>55</v>
      </c>
      <c r="O904" t="s">
        <v>33</v>
      </c>
      <c r="P904" t="s">
        <v>34</v>
      </c>
      <c r="Q904">
        <v>1</v>
      </c>
      <c r="R904">
        <v>0</v>
      </c>
      <c r="S904" s="2" t="str">
        <f>IFERROR(VLOOKUP(C904,Sheet2!B:E,4,0),C904)</f>
        <v>一般产品</v>
      </c>
    </row>
    <row r="905" spans="1:19" x14ac:dyDescent="0.2">
      <c r="A905" t="s">
        <v>3148</v>
      </c>
      <c r="B905">
        <v>3698</v>
      </c>
      <c r="C905" t="s">
        <v>575</v>
      </c>
      <c r="D905" t="s">
        <v>971</v>
      </c>
      <c r="E905" t="s">
        <v>3149</v>
      </c>
      <c r="F905" t="s">
        <v>710</v>
      </c>
      <c r="G905" s="2" t="s">
        <v>711</v>
      </c>
      <c r="H905" t="s">
        <v>18</v>
      </c>
      <c r="I905" t="s">
        <v>211</v>
      </c>
      <c r="J905" t="s">
        <v>212</v>
      </c>
      <c r="K905" t="s">
        <v>930</v>
      </c>
      <c r="L905" t="s">
        <v>930</v>
      </c>
      <c r="M905" t="s">
        <v>213</v>
      </c>
      <c r="N905" t="s">
        <v>73</v>
      </c>
      <c r="O905" t="s">
        <v>24</v>
      </c>
      <c r="P905" t="s">
        <v>25</v>
      </c>
      <c r="Q905">
        <v>1</v>
      </c>
      <c r="R905">
        <v>0</v>
      </c>
      <c r="S905" s="2" t="str">
        <f>IFERROR(VLOOKUP(C905,Sheet2!B:E,4,0),C905)</f>
        <v>优惠产品</v>
      </c>
    </row>
    <row r="906" spans="1:19" x14ac:dyDescent="0.2">
      <c r="A906" t="s">
        <v>3150</v>
      </c>
      <c r="B906">
        <v>2899</v>
      </c>
      <c r="C906" t="s">
        <v>575</v>
      </c>
      <c r="D906" t="s">
        <v>50</v>
      </c>
      <c r="E906" t="s">
        <v>3151</v>
      </c>
      <c r="F906" t="s">
        <v>3152</v>
      </c>
      <c r="G906" s="2" t="s">
        <v>3153</v>
      </c>
      <c r="H906" t="s">
        <v>18</v>
      </c>
      <c r="I906" t="s">
        <v>930</v>
      </c>
      <c r="J906" t="s">
        <v>930</v>
      </c>
      <c r="K906" t="s">
        <v>115</v>
      </c>
      <c r="L906" t="s">
        <v>930</v>
      </c>
      <c r="M906" t="s">
        <v>116</v>
      </c>
      <c r="N906" t="s">
        <v>45</v>
      </c>
      <c r="O906" t="s">
        <v>117</v>
      </c>
      <c r="P906" t="s">
        <v>34</v>
      </c>
      <c r="Q906">
        <v>1</v>
      </c>
      <c r="R906">
        <v>0</v>
      </c>
      <c r="S906" s="2" t="str">
        <f>IFERROR(VLOOKUP(C906,Sheet2!B:E,4,0),C906)</f>
        <v>优惠产品</v>
      </c>
    </row>
    <row r="907" spans="1:19" x14ac:dyDescent="0.2">
      <c r="A907" t="s">
        <v>3154</v>
      </c>
      <c r="B907">
        <v>2499</v>
      </c>
      <c r="C907" t="s">
        <v>589</v>
      </c>
      <c r="D907" t="s">
        <v>2257</v>
      </c>
      <c r="E907" t="s">
        <v>3155</v>
      </c>
      <c r="F907" t="s">
        <v>503</v>
      </c>
      <c r="G907" s="2" t="s">
        <v>504</v>
      </c>
      <c r="H907" t="s">
        <v>28</v>
      </c>
      <c r="I907" t="s">
        <v>437</v>
      </c>
      <c r="J907" t="s">
        <v>438</v>
      </c>
      <c r="K907" t="s">
        <v>930</v>
      </c>
      <c r="L907" t="s">
        <v>930</v>
      </c>
      <c r="M907" t="s">
        <v>439</v>
      </c>
      <c r="N907" t="s">
        <v>194</v>
      </c>
      <c r="O907" t="s">
        <v>24</v>
      </c>
      <c r="P907" t="s">
        <v>25</v>
      </c>
      <c r="Q907">
        <v>1</v>
      </c>
      <c r="R907">
        <v>0</v>
      </c>
      <c r="S907" s="2" t="str">
        <f>IFERROR(VLOOKUP(C907,Sheet2!B:E,4,0),C907)</f>
        <v>优惠产品</v>
      </c>
    </row>
    <row r="908" spans="1:19" x14ac:dyDescent="0.2">
      <c r="A908" t="s">
        <v>3156</v>
      </c>
      <c r="B908">
        <v>1599</v>
      </c>
      <c r="C908" t="s">
        <v>589</v>
      </c>
      <c r="D908" t="s">
        <v>2257</v>
      </c>
      <c r="E908" t="s">
        <v>3157</v>
      </c>
      <c r="F908" t="s">
        <v>503</v>
      </c>
      <c r="G908" s="2" t="s">
        <v>504</v>
      </c>
      <c r="H908" t="s">
        <v>28</v>
      </c>
      <c r="I908" t="s">
        <v>437</v>
      </c>
      <c r="J908" t="s">
        <v>438</v>
      </c>
      <c r="K908" t="s">
        <v>930</v>
      </c>
      <c r="L908" t="s">
        <v>930</v>
      </c>
      <c r="M908" t="s">
        <v>439</v>
      </c>
      <c r="N908" t="s">
        <v>194</v>
      </c>
      <c r="O908" t="s">
        <v>24</v>
      </c>
      <c r="P908" t="s">
        <v>25</v>
      </c>
      <c r="Q908">
        <v>1</v>
      </c>
      <c r="R908">
        <v>0</v>
      </c>
      <c r="S908" s="2" t="str">
        <f>IFERROR(VLOOKUP(C908,Sheet2!B:E,4,0),C908)</f>
        <v>优惠产品</v>
      </c>
    </row>
    <row r="909" spans="1:19" x14ac:dyDescent="0.2">
      <c r="A909" t="s">
        <v>3158</v>
      </c>
      <c r="B909">
        <v>3500</v>
      </c>
      <c r="C909" t="s">
        <v>26</v>
      </c>
      <c r="D909" t="s">
        <v>50</v>
      </c>
      <c r="E909" t="s">
        <v>1079</v>
      </c>
      <c r="F909" t="s">
        <v>2601</v>
      </c>
      <c r="G909" s="2" t="s">
        <v>2602</v>
      </c>
      <c r="H909" t="s">
        <v>18</v>
      </c>
      <c r="I909" t="s">
        <v>401</v>
      </c>
      <c r="J909" t="s">
        <v>402</v>
      </c>
      <c r="K909" t="s">
        <v>930</v>
      </c>
      <c r="L909" t="s">
        <v>930</v>
      </c>
      <c r="M909" t="s">
        <v>403</v>
      </c>
      <c r="N909" t="s">
        <v>68</v>
      </c>
      <c r="O909" t="s">
        <v>33</v>
      </c>
      <c r="P909" t="s">
        <v>34</v>
      </c>
      <c r="Q909">
        <v>1</v>
      </c>
      <c r="R909">
        <v>0</v>
      </c>
      <c r="S909" s="2" t="str">
        <f>IFERROR(VLOOKUP(C909,Sheet2!B:E,4,0),C909)</f>
        <v>一般产品</v>
      </c>
    </row>
    <row r="910" spans="1:19" x14ac:dyDescent="0.2">
      <c r="A910" t="s">
        <v>3159</v>
      </c>
      <c r="B910">
        <v>2800</v>
      </c>
      <c r="C910" t="s">
        <v>26</v>
      </c>
      <c r="D910" t="s">
        <v>2257</v>
      </c>
      <c r="E910" t="s">
        <v>3160</v>
      </c>
      <c r="F910" t="s">
        <v>2407</v>
      </c>
      <c r="G910" s="2" t="s">
        <v>2408</v>
      </c>
      <c r="H910" t="s">
        <v>18</v>
      </c>
      <c r="I910" t="s">
        <v>281</v>
      </c>
      <c r="J910" t="s">
        <v>282</v>
      </c>
      <c r="K910" t="s">
        <v>930</v>
      </c>
      <c r="L910" t="s">
        <v>930</v>
      </c>
      <c r="M910" t="s">
        <v>283</v>
      </c>
      <c r="N910" t="s">
        <v>68</v>
      </c>
      <c r="O910" t="s">
        <v>33</v>
      </c>
      <c r="P910" t="s">
        <v>34</v>
      </c>
      <c r="Q910">
        <v>1</v>
      </c>
      <c r="R910">
        <v>0</v>
      </c>
      <c r="S910" s="2" t="str">
        <f>IFERROR(VLOOKUP(C910,Sheet2!B:E,4,0),C910)</f>
        <v>一般产品</v>
      </c>
    </row>
    <row r="911" spans="1:19" x14ac:dyDescent="0.2">
      <c r="A911" t="s">
        <v>3161</v>
      </c>
      <c r="B911">
        <v>3300</v>
      </c>
      <c r="C911" t="s">
        <v>26</v>
      </c>
      <c r="D911" t="s">
        <v>50</v>
      </c>
      <c r="E911" t="s">
        <v>1450</v>
      </c>
      <c r="F911" t="s">
        <v>635</v>
      </c>
      <c r="G911" s="2" t="s">
        <v>636</v>
      </c>
      <c r="H911" t="s">
        <v>18</v>
      </c>
      <c r="I911" t="s">
        <v>255</v>
      </c>
      <c r="J911" t="s">
        <v>256</v>
      </c>
      <c r="K911" t="s">
        <v>930</v>
      </c>
      <c r="L911" t="s">
        <v>930</v>
      </c>
      <c r="M911" t="s">
        <v>257</v>
      </c>
      <c r="N911" t="s">
        <v>47</v>
      </c>
      <c r="O911" t="s">
        <v>33</v>
      </c>
      <c r="P911" t="s">
        <v>34</v>
      </c>
      <c r="Q911">
        <v>1</v>
      </c>
      <c r="R911">
        <v>0</v>
      </c>
      <c r="S911" s="2" t="str">
        <f>IFERROR(VLOOKUP(C911,Sheet2!B:E,4,0),C911)</f>
        <v>一般产品</v>
      </c>
    </row>
    <row r="912" spans="1:19" x14ac:dyDescent="0.2">
      <c r="A912" t="s">
        <v>3162</v>
      </c>
      <c r="B912">
        <v>2999</v>
      </c>
      <c r="C912" t="s">
        <v>26</v>
      </c>
      <c r="D912" t="s">
        <v>2257</v>
      </c>
      <c r="E912" t="s">
        <v>3163</v>
      </c>
      <c r="F912" t="s">
        <v>1867</v>
      </c>
      <c r="G912" s="2" t="s">
        <v>1868</v>
      </c>
      <c r="H912" t="s">
        <v>28</v>
      </c>
      <c r="I912" t="s">
        <v>437</v>
      </c>
      <c r="J912" t="s">
        <v>438</v>
      </c>
      <c r="K912" t="s">
        <v>930</v>
      </c>
      <c r="L912" t="s">
        <v>930</v>
      </c>
      <c r="M912" t="s">
        <v>439</v>
      </c>
      <c r="N912" t="s">
        <v>194</v>
      </c>
      <c r="O912" t="s">
        <v>24</v>
      </c>
      <c r="P912" t="s">
        <v>25</v>
      </c>
      <c r="Q912">
        <v>1</v>
      </c>
      <c r="R912">
        <v>0</v>
      </c>
      <c r="S912" s="2" t="str">
        <f>IFERROR(VLOOKUP(C912,Sheet2!B:E,4,0),C912)</f>
        <v>一般产品</v>
      </c>
    </row>
    <row r="913" spans="1:19" x14ac:dyDescent="0.2">
      <c r="A913" t="s">
        <v>3164</v>
      </c>
      <c r="B913">
        <v>1499</v>
      </c>
      <c r="C913" t="s">
        <v>589</v>
      </c>
      <c r="D913" t="s">
        <v>2257</v>
      </c>
      <c r="E913" t="s">
        <v>3165</v>
      </c>
      <c r="F913" t="s">
        <v>1429</v>
      </c>
      <c r="G913" s="2" t="s">
        <v>1430</v>
      </c>
      <c r="H913" t="s">
        <v>18</v>
      </c>
      <c r="I913" t="s">
        <v>227</v>
      </c>
      <c r="J913" t="s">
        <v>228</v>
      </c>
      <c r="K913" t="s">
        <v>930</v>
      </c>
      <c r="L913" t="s">
        <v>930</v>
      </c>
      <c r="M913" t="s">
        <v>229</v>
      </c>
      <c r="N913" t="s">
        <v>194</v>
      </c>
      <c r="O913" t="s">
        <v>24</v>
      </c>
      <c r="P913" t="s">
        <v>25</v>
      </c>
      <c r="Q913">
        <v>1</v>
      </c>
      <c r="R913">
        <v>0</v>
      </c>
      <c r="S913" s="2" t="str">
        <f>IFERROR(VLOOKUP(C913,Sheet2!B:E,4,0),C913)</f>
        <v>优惠产品</v>
      </c>
    </row>
    <row r="914" spans="1:19" x14ac:dyDescent="0.2">
      <c r="A914" t="s">
        <v>3166</v>
      </c>
      <c r="B914">
        <v>2300</v>
      </c>
      <c r="C914" t="s">
        <v>26</v>
      </c>
      <c r="D914" t="s">
        <v>50</v>
      </c>
      <c r="E914" t="s">
        <v>2437</v>
      </c>
      <c r="F914" t="s">
        <v>2438</v>
      </c>
      <c r="G914" s="2" t="s">
        <v>2439</v>
      </c>
      <c r="H914" t="s">
        <v>18</v>
      </c>
      <c r="I914" t="s">
        <v>56</v>
      </c>
      <c r="J914" t="s">
        <v>57</v>
      </c>
      <c r="K914" t="s">
        <v>930</v>
      </c>
      <c r="L914" t="s">
        <v>930</v>
      </c>
      <c r="M914" t="s">
        <v>58</v>
      </c>
      <c r="N914" t="s">
        <v>108</v>
      </c>
      <c r="O914" t="s">
        <v>33</v>
      </c>
      <c r="P914" t="s">
        <v>34</v>
      </c>
      <c r="Q914">
        <v>1</v>
      </c>
      <c r="R914">
        <v>0</v>
      </c>
      <c r="S914" s="2" t="str">
        <f>IFERROR(VLOOKUP(C914,Sheet2!B:E,4,0),C914)</f>
        <v>一般产品</v>
      </c>
    </row>
    <row r="915" spans="1:19" x14ac:dyDescent="0.2">
      <c r="A915" t="s">
        <v>3167</v>
      </c>
      <c r="B915">
        <v>3000</v>
      </c>
      <c r="C915" t="s">
        <v>26</v>
      </c>
      <c r="D915" t="s">
        <v>970</v>
      </c>
      <c r="E915" t="s">
        <v>365</v>
      </c>
      <c r="F915" t="s">
        <v>1459</v>
      </c>
      <c r="G915" s="2" t="s">
        <v>1460</v>
      </c>
      <c r="H915" t="s">
        <v>28</v>
      </c>
      <c r="I915" t="s">
        <v>97</v>
      </c>
      <c r="J915" t="s">
        <v>98</v>
      </c>
      <c r="K915" t="s">
        <v>930</v>
      </c>
      <c r="L915" t="s">
        <v>930</v>
      </c>
      <c r="M915" t="s">
        <v>99</v>
      </c>
      <c r="N915" t="s">
        <v>55</v>
      </c>
      <c r="O915" t="s">
        <v>33</v>
      </c>
      <c r="P915" t="s">
        <v>34</v>
      </c>
      <c r="Q915">
        <v>1</v>
      </c>
      <c r="R915">
        <v>0</v>
      </c>
      <c r="S915" s="2" t="str">
        <f>IFERROR(VLOOKUP(C915,Sheet2!B:E,4,0),C915)</f>
        <v>一般产品</v>
      </c>
    </row>
    <row r="916" spans="1:19" x14ac:dyDescent="0.2">
      <c r="A916" t="s">
        <v>3168</v>
      </c>
      <c r="B916">
        <v>3980</v>
      </c>
      <c r="C916" t="s">
        <v>575</v>
      </c>
      <c r="D916" t="s">
        <v>50</v>
      </c>
      <c r="E916" t="s">
        <v>3169</v>
      </c>
      <c r="F916" t="s">
        <v>3170</v>
      </c>
      <c r="G916" s="2" t="s">
        <v>3171</v>
      </c>
      <c r="H916" t="s">
        <v>18</v>
      </c>
      <c r="I916" t="s">
        <v>151</v>
      </c>
      <c r="J916" t="s">
        <v>152</v>
      </c>
      <c r="K916" t="s">
        <v>930</v>
      </c>
      <c r="L916" t="s">
        <v>930</v>
      </c>
      <c r="M916" t="s">
        <v>153</v>
      </c>
      <c r="N916" t="s">
        <v>61</v>
      </c>
      <c r="O916" t="s">
        <v>129</v>
      </c>
      <c r="P916" t="s">
        <v>25</v>
      </c>
      <c r="Q916">
        <v>1</v>
      </c>
      <c r="R916">
        <v>0</v>
      </c>
      <c r="S916" s="2" t="str">
        <f>IFERROR(VLOOKUP(C916,Sheet2!B:E,4,0),C916)</f>
        <v>优惠产品</v>
      </c>
    </row>
    <row r="917" spans="1:19" x14ac:dyDescent="0.2">
      <c r="A917" t="s">
        <v>3172</v>
      </c>
      <c r="B917">
        <v>3199</v>
      </c>
      <c r="C917" t="s">
        <v>26</v>
      </c>
      <c r="D917" t="s">
        <v>972</v>
      </c>
      <c r="E917" t="s">
        <v>1240</v>
      </c>
      <c r="F917" t="s">
        <v>1241</v>
      </c>
      <c r="G917" s="2" t="s">
        <v>1242</v>
      </c>
      <c r="H917" t="s">
        <v>18</v>
      </c>
      <c r="I917" t="s">
        <v>167</v>
      </c>
      <c r="J917" t="s">
        <v>168</v>
      </c>
      <c r="K917" t="s">
        <v>930</v>
      </c>
      <c r="L917" t="s">
        <v>930</v>
      </c>
      <c r="M917" t="s">
        <v>937</v>
      </c>
      <c r="N917" t="s">
        <v>68</v>
      </c>
      <c r="O917" t="s">
        <v>33</v>
      </c>
      <c r="P917" t="s">
        <v>34</v>
      </c>
      <c r="Q917">
        <v>1</v>
      </c>
      <c r="R917">
        <v>0</v>
      </c>
      <c r="S917" s="2" t="str">
        <f>IFERROR(VLOOKUP(C917,Sheet2!B:E,4,0),C917)</f>
        <v>一般产品</v>
      </c>
    </row>
    <row r="918" spans="1:19" x14ac:dyDescent="0.2">
      <c r="A918" t="s">
        <v>3173</v>
      </c>
      <c r="B918">
        <v>2200</v>
      </c>
      <c r="C918" t="s">
        <v>26</v>
      </c>
      <c r="D918" t="s">
        <v>50</v>
      </c>
      <c r="E918" t="s">
        <v>1287</v>
      </c>
      <c r="F918" t="s">
        <v>804</v>
      </c>
      <c r="G918" s="2" t="s">
        <v>805</v>
      </c>
      <c r="H918" t="s">
        <v>18</v>
      </c>
      <c r="I918" t="s">
        <v>221</v>
      </c>
      <c r="J918" t="s">
        <v>222</v>
      </c>
      <c r="K918" t="s">
        <v>930</v>
      </c>
      <c r="L918" t="s">
        <v>930</v>
      </c>
      <c r="M918" t="s">
        <v>223</v>
      </c>
      <c r="N918" t="s">
        <v>55</v>
      </c>
      <c r="O918" t="s">
        <v>33</v>
      </c>
      <c r="P918" t="s">
        <v>34</v>
      </c>
      <c r="Q918">
        <v>1</v>
      </c>
      <c r="R918">
        <v>0</v>
      </c>
      <c r="S918" s="2" t="str">
        <f>IFERROR(VLOOKUP(C918,Sheet2!B:E,4,0),C918)</f>
        <v>一般产品</v>
      </c>
    </row>
    <row r="919" spans="1:19" x14ac:dyDescent="0.2">
      <c r="A919" t="s">
        <v>3174</v>
      </c>
      <c r="B919">
        <v>3700</v>
      </c>
      <c r="C919" t="s">
        <v>26</v>
      </c>
      <c r="D919" t="s">
        <v>970</v>
      </c>
      <c r="E919" t="s">
        <v>1345</v>
      </c>
      <c r="F919" t="s">
        <v>1001</v>
      </c>
      <c r="G919" s="2" t="s">
        <v>1002</v>
      </c>
      <c r="H919" t="s">
        <v>28</v>
      </c>
      <c r="I919" t="s">
        <v>164</v>
      </c>
      <c r="J919" t="s">
        <v>165</v>
      </c>
      <c r="K919" t="s">
        <v>930</v>
      </c>
      <c r="L919" t="s">
        <v>930</v>
      </c>
      <c r="M919" t="s">
        <v>166</v>
      </c>
      <c r="N919" t="s">
        <v>55</v>
      </c>
      <c r="O919" t="s">
        <v>33</v>
      </c>
      <c r="P919" t="s">
        <v>34</v>
      </c>
      <c r="Q919">
        <v>1</v>
      </c>
      <c r="R919">
        <v>0</v>
      </c>
      <c r="S919" s="2" t="str">
        <f>IFERROR(VLOOKUP(C919,Sheet2!B:E,4,0),C919)</f>
        <v>一般产品</v>
      </c>
    </row>
    <row r="920" spans="1:19" x14ac:dyDescent="0.2">
      <c r="A920" t="s">
        <v>3175</v>
      </c>
      <c r="B920">
        <v>3200</v>
      </c>
      <c r="C920" t="s">
        <v>26</v>
      </c>
      <c r="D920" t="s">
        <v>50</v>
      </c>
      <c r="E920" t="s">
        <v>1211</v>
      </c>
      <c r="F920" t="s">
        <v>596</v>
      </c>
      <c r="G920" s="2" t="s">
        <v>597</v>
      </c>
      <c r="H920" t="s">
        <v>18</v>
      </c>
      <c r="I920" t="s">
        <v>159</v>
      </c>
      <c r="J920" t="s">
        <v>160</v>
      </c>
      <c r="K920" t="s">
        <v>930</v>
      </c>
      <c r="L920" t="s">
        <v>930</v>
      </c>
      <c r="M920" t="s">
        <v>161</v>
      </c>
      <c r="N920" t="s">
        <v>55</v>
      </c>
      <c r="O920" t="s">
        <v>33</v>
      </c>
      <c r="P920" t="s">
        <v>34</v>
      </c>
      <c r="Q920">
        <v>1</v>
      </c>
      <c r="R920">
        <v>0</v>
      </c>
      <c r="S920" s="2" t="str">
        <f>IFERROR(VLOOKUP(C920,Sheet2!B:E,4,0),C920)</f>
        <v>一般产品</v>
      </c>
    </row>
    <row r="921" spans="1:19" x14ac:dyDescent="0.2">
      <c r="A921" t="s">
        <v>3176</v>
      </c>
      <c r="B921">
        <v>3999</v>
      </c>
      <c r="C921" t="s">
        <v>26</v>
      </c>
      <c r="D921" t="s">
        <v>972</v>
      </c>
      <c r="E921" t="s">
        <v>3177</v>
      </c>
      <c r="F921" t="s">
        <v>1329</v>
      </c>
      <c r="G921" s="2" t="s">
        <v>1330</v>
      </c>
      <c r="H921" t="s">
        <v>18</v>
      </c>
      <c r="I921" t="s">
        <v>437</v>
      </c>
      <c r="J921" t="s">
        <v>438</v>
      </c>
      <c r="K921" t="s">
        <v>930</v>
      </c>
      <c r="L921" t="s">
        <v>930</v>
      </c>
      <c r="M921" t="s">
        <v>439</v>
      </c>
      <c r="N921" t="s">
        <v>194</v>
      </c>
      <c r="O921" t="s">
        <v>24</v>
      </c>
      <c r="P921" t="s">
        <v>25</v>
      </c>
      <c r="Q921">
        <v>1</v>
      </c>
      <c r="R921">
        <v>0</v>
      </c>
      <c r="S921" s="2" t="str">
        <f>IFERROR(VLOOKUP(C921,Sheet2!B:E,4,0),C921)</f>
        <v>一般产品</v>
      </c>
    </row>
    <row r="922" spans="1:19" x14ac:dyDescent="0.2">
      <c r="A922" t="s">
        <v>3178</v>
      </c>
      <c r="B922">
        <v>1800</v>
      </c>
      <c r="C922" t="s">
        <v>26</v>
      </c>
      <c r="D922" t="s">
        <v>50</v>
      </c>
      <c r="E922" t="s">
        <v>3179</v>
      </c>
      <c r="F922" t="s">
        <v>2938</v>
      </c>
      <c r="G922" s="2" t="s">
        <v>2939</v>
      </c>
      <c r="H922" t="s">
        <v>18</v>
      </c>
      <c r="I922" t="s">
        <v>404</v>
      </c>
      <c r="J922" t="s">
        <v>405</v>
      </c>
      <c r="K922" t="s">
        <v>930</v>
      </c>
      <c r="L922" t="s">
        <v>930</v>
      </c>
      <c r="M922" t="s">
        <v>406</v>
      </c>
      <c r="N922" t="s">
        <v>55</v>
      </c>
      <c r="O922" t="s">
        <v>33</v>
      </c>
      <c r="P922" t="s">
        <v>34</v>
      </c>
      <c r="Q922">
        <v>1</v>
      </c>
      <c r="R922">
        <v>0</v>
      </c>
      <c r="S922" s="2" t="str">
        <f>IFERROR(VLOOKUP(C922,Sheet2!B:E,4,0),C922)</f>
        <v>一般产品</v>
      </c>
    </row>
    <row r="923" spans="1:19" x14ac:dyDescent="0.2">
      <c r="A923" t="s">
        <v>3180</v>
      </c>
      <c r="B923">
        <v>3799</v>
      </c>
      <c r="C923" t="s">
        <v>26</v>
      </c>
      <c r="D923" t="s">
        <v>50</v>
      </c>
      <c r="E923" t="s">
        <v>3181</v>
      </c>
      <c r="F923" t="s">
        <v>1054</v>
      </c>
      <c r="G923" s="2" t="s">
        <v>1055</v>
      </c>
      <c r="H923" t="s">
        <v>28</v>
      </c>
      <c r="I923" t="s">
        <v>167</v>
      </c>
      <c r="J923" t="s">
        <v>168</v>
      </c>
      <c r="K923" t="s">
        <v>930</v>
      </c>
      <c r="L923" t="s">
        <v>930</v>
      </c>
      <c r="M923" t="s">
        <v>937</v>
      </c>
      <c r="N923" t="s">
        <v>68</v>
      </c>
      <c r="O923" t="s">
        <v>33</v>
      </c>
      <c r="P923" t="s">
        <v>34</v>
      </c>
      <c r="Q923">
        <v>1</v>
      </c>
      <c r="R923">
        <v>0</v>
      </c>
      <c r="S923" s="2" t="str">
        <f>IFERROR(VLOOKUP(C923,Sheet2!B:E,4,0),C923)</f>
        <v>一般产品</v>
      </c>
    </row>
    <row r="924" spans="1:19" x14ac:dyDescent="0.2">
      <c r="A924" t="s">
        <v>3182</v>
      </c>
      <c r="B924">
        <v>2698</v>
      </c>
      <c r="C924" t="s">
        <v>589</v>
      </c>
      <c r="D924" t="s">
        <v>972</v>
      </c>
      <c r="E924" t="s">
        <v>3183</v>
      </c>
      <c r="F924" t="s">
        <v>2685</v>
      </c>
      <c r="G924" s="2" t="s">
        <v>2686</v>
      </c>
      <c r="H924" t="s">
        <v>18</v>
      </c>
      <c r="I924" t="s">
        <v>100</v>
      </c>
      <c r="J924" t="s">
        <v>101</v>
      </c>
      <c r="K924" t="s">
        <v>930</v>
      </c>
      <c r="L924" t="s">
        <v>930</v>
      </c>
      <c r="M924" t="s">
        <v>102</v>
      </c>
      <c r="N924" t="s">
        <v>59</v>
      </c>
      <c r="O924" t="s">
        <v>72</v>
      </c>
      <c r="P924" t="s">
        <v>34</v>
      </c>
      <c r="Q924">
        <v>1</v>
      </c>
      <c r="R924">
        <v>0</v>
      </c>
      <c r="S924" s="2" t="str">
        <f>IFERROR(VLOOKUP(C924,Sheet2!B:E,4,0),C924)</f>
        <v>优惠产品</v>
      </c>
    </row>
    <row r="925" spans="1:19" x14ac:dyDescent="0.2">
      <c r="A925" t="s">
        <v>3184</v>
      </c>
      <c r="B925">
        <v>1198</v>
      </c>
      <c r="C925" t="s">
        <v>26</v>
      </c>
      <c r="D925" t="s">
        <v>50</v>
      </c>
      <c r="E925" t="s">
        <v>1628</v>
      </c>
      <c r="F925" t="s">
        <v>3014</v>
      </c>
      <c r="G925" s="2" t="s">
        <v>3015</v>
      </c>
      <c r="H925" t="s">
        <v>18</v>
      </c>
      <c r="I925" t="s">
        <v>164</v>
      </c>
      <c r="J925" t="s">
        <v>165</v>
      </c>
      <c r="K925" t="s">
        <v>930</v>
      </c>
      <c r="L925" t="s">
        <v>930</v>
      </c>
      <c r="M925" t="s">
        <v>166</v>
      </c>
      <c r="N925" t="s">
        <v>55</v>
      </c>
      <c r="O925" t="s">
        <v>33</v>
      </c>
      <c r="P925" t="s">
        <v>34</v>
      </c>
      <c r="Q925">
        <v>1</v>
      </c>
      <c r="R925">
        <v>0</v>
      </c>
      <c r="S925" s="2" t="str">
        <f>IFERROR(VLOOKUP(C925,Sheet2!B:E,4,0),C925)</f>
        <v>一般产品</v>
      </c>
    </row>
    <row r="926" spans="1:19" x14ac:dyDescent="0.2">
      <c r="A926" t="s">
        <v>3185</v>
      </c>
      <c r="B926">
        <v>999</v>
      </c>
      <c r="C926" t="s">
        <v>26</v>
      </c>
      <c r="D926" t="s">
        <v>2257</v>
      </c>
      <c r="E926" t="s">
        <v>3186</v>
      </c>
      <c r="F926" t="s">
        <v>289</v>
      </c>
      <c r="G926" s="2" t="s">
        <v>290</v>
      </c>
      <c r="H926" t="s">
        <v>28</v>
      </c>
      <c r="I926" t="s">
        <v>69</v>
      </c>
      <c r="J926" t="s">
        <v>70</v>
      </c>
      <c r="K926" t="s">
        <v>930</v>
      </c>
      <c r="L926" t="s">
        <v>930</v>
      </c>
      <c r="M926" t="s">
        <v>71</v>
      </c>
      <c r="N926" t="s">
        <v>47</v>
      </c>
      <c r="O926" t="s">
        <v>33</v>
      </c>
      <c r="P926" t="s">
        <v>34</v>
      </c>
      <c r="Q926">
        <v>1</v>
      </c>
      <c r="R926">
        <v>0</v>
      </c>
      <c r="S926" s="2" t="str">
        <f>IFERROR(VLOOKUP(C926,Sheet2!B:E,4,0),C926)</f>
        <v>一般产品</v>
      </c>
    </row>
    <row r="927" spans="1:19" x14ac:dyDescent="0.2">
      <c r="A927" t="s">
        <v>3187</v>
      </c>
      <c r="B927">
        <v>2300</v>
      </c>
      <c r="C927" t="s">
        <v>580</v>
      </c>
      <c r="D927" t="s">
        <v>50</v>
      </c>
      <c r="E927" t="s">
        <v>700</v>
      </c>
      <c r="F927" t="s">
        <v>3188</v>
      </c>
      <c r="G927" s="2" t="s">
        <v>3189</v>
      </c>
      <c r="H927" t="s">
        <v>18</v>
      </c>
      <c r="I927" t="s">
        <v>930</v>
      </c>
      <c r="J927" t="s">
        <v>930</v>
      </c>
      <c r="K927" t="s">
        <v>235</v>
      </c>
      <c r="L927" t="s">
        <v>930</v>
      </c>
      <c r="M927" t="s">
        <v>236</v>
      </c>
      <c r="N927" t="s">
        <v>55</v>
      </c>
      <c r="O927" t="s">
        <v>33</v>
      </c>
      <c r="P927" t="s">
        <v>34</v>
      </c>
      <c r="Q927">
        <v>1</v>
      </c>
      <c r="R927">
        <v>0</v>
      </c>
      <c r="S927" s="2" t="str">
        <f>IFERROR(VLOOKUP(C927,Sheet2!B:E,4,0),C927)</f>
        <v>10期贷</v>
      </c>
    </row>
    <row r="928" spans="1:19" x14ac:dyDescent="0.2">
      <c r="A928" t="s">
        <v>3190</v>
      </c>
      <c r="B928">
        <v>2799</v>
      </c>
      <c r="C928" t="s">
        <v>26</v>
      </c>
      <c r="D928" t="s">
        <v>50</v>
      </c>
      <c r="E928" t="s">
        <v>3191</v>
      </c>
      <c r="F928" t="s">
        <v>397</v>
      </c>
      <c r="G928" s="2" t="s">
        <v>398</v>
      </c>
      <c r="H928" t="s">
        <v>18</v>
      </c>
      <c r="I928" t="s">
        <v>164</v>
      </c>
      <c r="J928" t="s">
        <v>165</v>
      </c>
      <c r="K928" t="s">
        <v>930</v>
      </c>
      <c r="L928" t="s">
        <v>930</v>
      </c>
      <c r="M928" t="s">
        <v>166</v>
      </c>
      <c r="N928" t="s">
        <v>55</v>
      </c>
      <c r="O928" t="s">
        <v>33</v>
      </c>
      <c r="P928" t="s">
        <v>34</v>
      </c>
      <c r="Q928">
        <v>1</v>
      </c>
      <c r="R928">
        <v>0</v>
      </c>
      <c r="S928" s="2" t="str">
        <f>IFERROR(VLOOKUP(C928,Sheet2!B:E,4,0),C928)</f>
        <v>一般产品</v>
      </c>
    </row>
    <row r="929" spans="1:19" x14ac:dyDescent="0.2">
      <c r="A929" t="s">
        <v>3192</v>
      </c>
      <c r="B929">
        <v>3998</v>
      </c>
      <c r="C929" t="s">
        <v>26</v>
      </c>
      <c r="D929" t="s">
        <v>2257</v>
      </c>
      <c r="E929" t="s">
        <v>523</v>
      </c>
      <c r="F929" t="s">
        <v>583</v>
      </c>
      <c r="G929" s="2" t="s">
        <v>584</v>
      </c>
      <c r="H929" t="s">
        <v>18</v>
      </c>
      <c r="I929" t="s">
        <v>81</v>
      </c>
      <c r="J929" t="s">
        <v>1230</v>
      </c>
      <c r="K929" t="s">
        <v>930</v>
      </c>
      <c r="L929" t="s">
        <v>930</v>
      </c>
      <c r="M929" t="s">
        <v>1231</v>
      </c>
      <c r="N929" t="s">
        <v>68</v>
      </c>
      <c r="O929" t="s">
        <v>33</v>
      </c>
      <c r="P929" t="s">
        <v>34</v>
      </c>
      <c r="Q929">
        <v>1</v>
      </c>
      <c r="R929">
        <v>0</v>
      </c>
      <c r="S929" s="2" t="str">
        <f>IFERROR(VLOOKUP(C929,Sheet2!B:E,4,0),C929)</f>
        <v>一般产品</v>
      </c>
    </row>
    <row r="930" spans="1:19" x14ac:dyDescent="0.2">
      <c r="A930" t="s">
        <v>3193</v>
      </c>
      <c r="B930">
        <v>1799</v>
      </c>
      <c r="C930" t="s">
        <v>575</v>
      </c>
      <c r="D930" t="s">
        <v>50</v>
      </c>
      <c r="E930" t="s">
        <v>1080</v>
      </c>
      <c r="F930" t="s">
        <v>1656</v>
      </c>
      <c r="G930" s="2" t="s">
        <v>1657</v>
      </c>
      <c r="H930" t="s">
        <v>18</v>
      </c>
      <c r="I930" t="s">
        <v>111</v>
      </c>
      <c r="J930" t="s">
        <v>112</v>
      </c>
      <c r="K930" t="s">
        <v>930</v>
      </c>
      <c r="L930" t="s">
        <v>930</v>
      </c>
      <c r="M930" t="s">
        <v>113</v>
      </c>
      <c r="N930" t="s">
        <v>114</v>
      </c>
      <c r="O930" t="s">
        <v>24</v>
      </c>
      <c r="P930" t="s">
        <v>25</v>
      </c>
      <c r="Q930">
        <v>1</v>
      </c>
      <c r="R930">
        <v>0</v>
      </c>
      <c r="S930" s="2" t="str">
        <f>IFERROR(VLOOKUP(C930,Sheet2!B:E,4,0),C930)</f>
        <v>优惠产品</v>
      </c>
    </row>
    <row r="931" spans="1:19" x14ac:dyDescent="0.2">
      <c r="A931" t="s">
        <v>3194</v>
      </c>
      <c r="B931">
        <v>3400</v>
      </c>
      <c r="C931" t="s">
        <v>26</v>
      </c>
      <c r="D931" t="s">
        <v>50</v>
      </c>
      <c r="E931" t="s">
        <v>2656</v>
      </c>
      <c r="F931" t="s">
        <v>314</v>
      </c>
      <c r="G931" s="2" t="s">
        <v>315</v>
      </c>
      <c r="H931" t="s">
        <v>18</v>
      </c>
      <c r="I931" t="s">
        <v>930</v>
      </c>
      <c r="J931" t="s">
        <v>930</v>
      </c>
      <c r="K931" t="s">
        <v>106</v>
      </c>
      <c r="L931" t="s">
        <v>930</v>
      </c>
      <c r="M931" t="s">
        <v>1456</v>
      </c>
      <c r="N931" t="s">
        <v>108</v>
      </c>
      <c r="O931" t="s">
        <v>33</v>
      </c>
      <c r="P931" t="s">
        <v>34</v>
      </c>
      <c r="Q931">
        <v>1</v>
      </c>
      <c r="R931">
        <v>0</v>
      </c>
      <c r="S931" s="2" t="str">
        <f>IFERROR(VLOOKUP(C931,Sheet2!B:E,4,0),C931)</f>
        <v>一般产品</v>
      </c>
    </row>
    <row r="932" spans="1:19" x14ac:dyDescent="0.2">
      <c r="A932" t="s">
        <v>3195</v>
      </c>
      <c r="B932">
        <v>3000</v>
      </c>
      <c r="C932" t="s">
        <v>26</v>
      </c>
      <c r="D932" t="s">
        <v>50</v>
      </c>
      <c r="E932" t="s">
        <v>647</v>
      </c>
      <c r="F932" t="s">
        <v>648</v>
      </c>
      <c r="G932" s="2" t="s">
        <v>649</v>
      </c>
      <c r="H932" t="s">
        <v>18</v>
      </c>
      <c r="I932" t="s">
        <v>88</v>
      </c>
      <c r="J932" t="s">
        <v>89</v>
      </c>
      <c r="K932" t="s">
        <v>930</v>
      </c>
      <c r="L932" t="s">
        <v>930</v>
      </c>
      <c r="M932" t="s">
        <v>933</v>
      </c>
      <c r="N932" t="s">
        <v>32</v>
      </c>
      <c r="O932" t="s">
        <v>33</v>
      </c>
      <c r="P932" t="s">
        <v>34</v>
      </c>
      <c r="Q932">
        <v>1</v>
      </c>
      <c r="R932">
        <v>0</v>
      </c>
      <c r="S932" s="2" t="str">
        <f>IFERROR(VLOOKUP(C932,Sheet2!B:E,4,0),C932)</f>
        <v>一般产品</v>
      </c>
    </row>
    <row r="933" spans="1:19" x14ac:dyDescent="0.2">
      <c r="A933" t="s">
        <v>3196</v>
      </c>
      <c r="B933">
        <v>3002</v>
      </c>
      <c r="C933" t="s">
        <v>26</v>
      </c>
      <c r="D933" t="s">
        <v>50</v>
      </c>
      <c r="E933" t="s">
        <v>828</v>
      </c>
      <c r="F933" t="s">
        <v>1136</v>
      </c>
      <c r="G933" s="2" t="s">
        <v>1137</v>
      </c>
      <c r="H933" t="s">
        <v>28</v>
      </c>
      <c r="I933" t="s">
        <v>118</v>
      </c>
      <c r="J933" t="s">
        <v>119</v>
      </c>
      <c r="K933" t="s">
        <v>930</v>
      </c>
      <c r="L933" t="s">
        <v>930</v>
      </c>
      <c r="M933" t="s">
        <v>120</v>
      </c>
      <c r="N933" t="s">
        <v>85</v>
      </c>
      <c r="O933" t="s">
        <v>33</v>
      </c>
      <c r="P933" t="s">
        <v>34</v>
      </c>
      <c r="Q933">
        <v>1</v>
      </c>
      <c r="R933">
        <v>0</v>
      </c>
      <c r="S933" s="2" t="str">
        <f>IFERROR(VLOOKUP(C933,Sheet2!B:E,4,0),C933)</f>
        <v>一般产品</v>
      </c>
    </row>
    <row r="934" spans="1:19" x14ac:dyDescent="0.2">
      <c r="A934" t="s">
        <v>3197</v>
      </c>
      <c r="B934">
        <v>1798</v>
      </c>
      <c r="C934" t="s">
        <v>589</v>
      </c>
      <c r="D934" t="s">
        <v>50</v>
      </c>
      <c r="E934" t="s">
        <v>1075</v>
      </c>
      <c r="F934" t="s">
        <v>1173</v>
      </c>
      <c r="G934" s="2" t="s">
        <v>1174</v>
      </c>
      <c r="H934" t="s">
        <v>18</v>
      </c>
      <c r="I934" t="s">
        <v>237</v>
      </c>
      <c r="J934" t="s">
        <v>238</v>
      </c>
      <c r="K934" t="s">
        <v>930</v>
      </c>
      <c r="L934" t="s">
        <v>930</v>
      </c>
      <c r="M934" t="s">
        <v>239</v>
      </c>
      <c r="N934" t="s">
        <v>85</v>
      </c>
      <c r="O934" t="s">
        <v>33</v>
      </c>
      <c r="P934" t="s">
        <v>34</v>
      </c>
      <c r="Q934">
        <v>1</v>
      </c>
      <c r="R934">
        <v>0</v>
      </c>
      <c r="S934" s="2" t="str">
        <f>IFERROR(VLOOKUP(C934,Sheet2!B:E,4,0),C934)</f>
        <v>优惠产品</v>
      </c>
    </row>
    <row r="935" spans="1:19" x14ac:dyDescent="0.2">
      <c r="A935" t="s">
        <v>3198</v>
      </c>
      <c r="B935">
        <v>3800</v>
      </c>
      <c r="C935" t="s">
        <v>26</v>
      </c>
      <c r="D935" t="s">
        <v>50</v>
      </c>
      <c r="E935" t="s">
        <v>3199</v>
      </c>
      <c r="F935" t="s">
        <v>752</v>
      </c>
      <c r="G935" s="2" t="s">
        <v>753</v>
      </c>
      <c r="H935" t="s">
        <v>18</v>
      </c>
      <c r="I935" t="s">
        <v>107</v>
      </c>
      <c r="J935" t="s">
        <v>1046</v>
      </c>
      <c r="K935" t="s">
        <v>930</v>
      </c>
      <c r="L935" t="s">
        <v>930</v>
      </c>
      <c r="M935" t="s">
        <v>1047</v>
      </c>
      <c r="N935" t="s">
        <v>108</v>
      </c>
      <c r="O935" t="s">
        <v>33</v>
      </c>
      <c r="P935" t="s">
        <v>34</v>
      </c>
      <c r="Q935">
        <v>1</v>
      </c>
      <c r="R935">
        <v>0</v>
      </c>
      <c r="S935" s="2" t="str">
        <f>IFERROR(VLOOKUP(C935,Sheet2!B:E,4,0),C935)</f>
        <v>一般产品</v>
      </c>
    </row>
    <row r="936" spans="1:19" x14ac:dyDescent="0.2">
      <c r="A936" t="s">
        <v>3200</v>
      </c>
      <c r="B936">
        <v>4000</v>
      </c>
      <c r="C936" t="s">
        <v>26</v>
      </c>
      <c r="D936" t="s">
        <v>50</v>
      </c>
      <c r="E936" t="s">
        <v>1124</v>
      </c>
      <c r="F936" t="s">
        <v>537</v>
      </c>
      <c r="G936" s="2" t="s">
        <v>538</v>
      </c>
      <c r="H936" t="s">
        <v>18</v>
      </c>
      <c r="I936" t="s">
        <v>408</v>
      </c>
      <c r="J936" t="s">
        <v>1234</v>
      </c>
      <c r="K936" t="s">
        <v>930</v>
      </c>
      <c r="L936" t="s">
        <v>930</v>
      </c>
      <c r="M936" t="s">
        <v>1235</v>
      </c>
      <c r="N936" t="s">
        <v>55</v>
      </c>
      <c r="O936" t="s">
        <v>33</v>
      </c>
      <c r="P936" t="s">
        <v>34</v>
      </c>
      <c r="Q936">
        <v>1</v>
      </c>
      <c r="R936">
        <v>0</v>
      </c>
      <c r="S936" s="2" t="str">
        <f>IFERROR(VLOOKUP(C936,Sheet2!B:E,4,0),C936)</f>
        <v>一般产品</v>
      </c>
    </row>
    <row r="937" spans="1:19" x14ac:dyDescent="0.2">
      <c r="A937" t="s">
        <v>3201</v>
      </c>
      <c r="B937">
        <v>2099</v>
      </c>
      <c r="C937" t="s">
        <v>26</v>
      </c>
      <c r="D937" t="s">
        <v>50</v>
      </c>
      <c r="E937" t="s">
        <v>3202</v>
      </c>
      <c r="F937" t="s">
        <v>214</v>
      </c>
      <c r="G937" s="2" t="s">
        <v>215</v>
      </c>
      <c r="H937" t="s">
        <v>18</v>
      </c>
      <c r="I937" t="s">
        <v>182</v>
      </c>
      <c r="J937" t="s">
        <v>183</v>
      </c>
      <c r="K937" t="s">
        <v>930</v>
      </c>
      <c r="L937" t="s">
        <v>930</v>
      </c>
      <c r="M937" t="s">
        <v>184</v>
      </c>
      <c r="N937" t="s">
        <v>85</v>
      </c>
      <c r="O937" t="s">
        <v>33</v>
      </c>
      <c r="P937" t="s">
        <v>34</v>
      </c>
      <c r="Q937">
        <v>1</v>
      </c>
      <c r="R937">
        <v>0</v>
      </c>
      <c r="S937" s="2" t="str">
        <f>IFERROR(VLOOKUP(C937,Sheet2!B:E,4,0),C937)</f>
        <v>一般产品</v>
      </c>
    </row>
    <row r="938" spans="1:19" x14ac:dyDescent="0.2">
      <c r="A938" t="s">
        <v>3203</v>
      </c>
      <c r="B938">
        <v>3000</v>
      </c>
      <c r="C938" t="s">
        <v>26</v>
      </c>
      <c r="D938" t="s">
        <v>50</v>
      </c>
      <c r="E938" t="s">
        <v>1321</v>
      </c>
      <c r="F938" t="s">
        <v>997</v>
      </c>
      <c r="G938" s="2" t="s">
        <v>998</v>
      </c>
      <c r="H938" t="s">
        <v>18</v>
      </c>
      <c r="I938" t="s">
        <v>404</v>
      </c>
      <c r="J938" t="s">
        <v>405</v>
      </c>
      <c r="K938" t="s">
        <v>930</v>
      </c>
      <c r="L938" t="s">
        <v>930</v>
      </c>
      <c r="M938" t="s">
        <v>406</v>
      </c>
      <c r="N938" t="s">
        <v>55</v>
      </c>
      <c r="O938" t="s">
        <v>33</v>
      </c>
      <c r="P938" t="s">
        <v>34</v>
      </c>
      <c r="Q938">
        <v>1</v>
      </c>
      <c r="R938">
        <v>0</v>
      </c>
      <c r="S938" s="2" t="str">
        <f>IFERROR(VLOOKUP(C938,Sheet2!B:E,4,0),C938)</f>
        <v>一般产品</v>
      </c>
    </row>
    <row r="939" spans="1:19" x14ac:dyDescent="0.2">
      <c r="A939" t="s">
        <v>3204</v>
      </c>
      <c r="B939">
        <v>3288</v>
      </c>
      <c r="C939" t="s">
        <v>26</v>
      </c>
      <c r="D939" t="s">
        <v>971</v>
      </c>
      <c r="E939" t="s">
        <v>716</v>
      </c>
      <c r="F939" t="s">
        <v>361</v>
      </c>
      <c r="G939" s="2" t="s">
        <v>362</v>
      </c>
      <c r="H939" t="s">
        <v>18</v>
      </c>
      <c r="I939" t="s">
        <v>260</v>
      </c>
      <c r="J939" t="s">
        <v>261</v>
      </c>
      <c r="K939" t="s">
        <v>930</v>
      </c>
      <c r="L939" t="s">
        <v>930</v>
      </c>
      <c r="M939" t="s">
        <v>262</v>
      </c>
      <c r="N939" t="s">
        <v>45</v>
      </c>
      <c r="O939" t="s">
        <v>48</v>
      </c>
      <c r="P939" t="s">
        <v>49</v>
      </c>
      <c r="Q939">
        <v>1</v>
      </c>
      <c r="R939">
        <v>0</v>
      </c>
      <c r="S939" s="2" t="str">
        <f>IFERROR(VLOOKUP(C939,Sheet2!B:E,4,0),C939)</f>
        <v>一般产品</v>
      </c>
    </row>
    <row r="940" spans="1:19" x14ac:dyDescent="0.2">
      <c r="A940" t="s">
        <v>3205</v>
      </c>
      <c r="B940">
        <v>3598</v>
      </c>
      <c r="C940" t="s">
        <v>26</v>
      </c>
      <c r="D940" t="s">
        <v>2257</v>
      </c>
      <c r="E940" t="s">
        <v>1810</v>
      </c>
      <c r="F940" t="s">
        <v>372</v>
      </c>
      <c r="G940" s="2" t="s">
        <v>373</v>
      </c>
      <c r="H940" t="s">
        <v>18</v>
      </c>
      <c r="I940" t="s">
        <v>421</v>
      </c>
      <c r="J940" t="s">
        <v>422</v>
      </c>
      <c r="K940" t="s">
        <v>930</v>
      </c>
      <c r="L940" t="s">
        <v>930</v>
      </c>
      <c r="M940" t="s">
        <v>423</v>
      </c>
      <c r="N940" t="s">
        <v>68</v>
      </c>
      <c r="O940" t="s">
        <v>33</v>
      </c>
      <c r="P940" t="s">
        <v>34</v>
      </c>
      <c r="Q940">
        <v>1</v>
      </c>
      <c r="R940">
        <v>0</v>
      </c>
      <c r="S940" s="2" t="str">
        <f>IFERROR(VLOOKUP(C940,Sheet2!B:E,4,0),C940)</f>
        <v>一般产品</v>
      </c>
    </row>
    <row r="941" spans="1:19" x14ac:dyDescent="0.2">
      <c r="A941" t="s">
        <v>3206</v>
      </c>
      <c r="B941">
        <v>2000</v>
      </c>
      <c r="C941" t="s">
        <v>26</v>
      </c>
      <c r="D941" t="s">
        <v>2257</v>
      </c>
      <c r="E941" t="s">
        <v>2609</v>
      </c>
      <c r="F941" t="s">
        <v>2610</v>
      </c>
      <c r="G941" s="2" t="s">
        <v>2611</v>
      </c>
      <c r="H941" t="s">
        <v>18</v>
      </c>
      <c r="I941" t="s">
        <v>930</v>
      </c>
      <c r="J941" t="s">
        <v>930</v>
      </c>
      <c r="K941" t="s">
        <v>163</v>
      </c>
      <c r="L941" t="s">
        <v>930</v>
      </c>
      <c r="M941" t="s">
        <v>931</v>
      </c>
      <c r="N941" t="s">
        <v>68</v>
      </c>
      <c r="O941" t="s">
        <v>33</v>
      </c>
      <c r="P941" t="s">
        <v>34</v>
      </c>
      <c r="Q941">
        <v>1</v>
      </c>
      <c r="R941">
        <v>0</v>
      </c>
      <c r="S941" s="2" t="str">
        <f>IFERROR(VLOOKUP(C941,Sheet2!B:E,4,0),C941)</f>
        <v>一般产品</v>
      </c>
    </row>
    <row r="942" spans="1:19" x14ac:dyDescent="0.2">
      <c r="A942" t="s">
        <v>3207</v>
      </c>
      <c r="B942">
        <v>3700</v>
      </c>
      <c r="C942" t="s">
        <v>26</v>
      </c>
      <c r="D942" t="s">
        <v>50</v>
      </c>
      <c r="E942" t="s">
        <v>3208</v>
      </c>
      <c r="F942" t="s">
        <v>637</v>
      </c>
      <c r="G942" s="2" t="s">
        <v>638</v>
      </c>
      <c r="H942" t="s">
        <v>18</v>
      </c>
      <c r="I942" t="s">
        <v>930</v>
      </c>
      <c r="J942" t="s">
        <v>930</v>
      </c>
      <c r="K942" t="s">
        <v>235</v>
      </c>
      <c r="L942" t="s">
        <v>930</v>
      </c>
      <c r="M942" t="s">
        <v>236</v>
      </c>
      <c r="N942" t="s">
        <v>55</v>
      </c>
      <c r="O942" t="s">
        <v>33</v>
      </c>
      <c r="P942" t="s">
        <v>34</v>
      </c>
      <c r="Q942">
        <v>1</v>
      </c>
      <c r="R942">
        <v>0</v>
      </c>
      <c r="S942" s="2" t="str">
        <f>IFERROR(VLOOKUP(C942,Sheet2!B:E,4,0),C942)</f>
        <v>一般产品</v>
      </c>
    </row>
    <row r="943" spans="1:19" x14ac:dyDescent="0.2">
      <c r="A943" t="s">
        <v>3209</v>
      </c>
      <c r="B943">
        <v>3200</v>
      </c>
      <c r="C943" t="s">
        <v>26</v>
      </c>
      <c r="D943" t="s">
        <v>50</v>
      </c>
      <c r="E943" t="s">
        <v>3210</v>
      </c>
      <c r="F943" t="s">
        <v>1623</v>
      </c>
      <c r="G943" s="2" t="s">
        <v>1133</v>
      </c>
      <c r="H943" t="s">
        <v>18</v>
      </c>
      <c r="I943" t="s">
        <v>198</v>
      </c>
      <c r="J943" t="s">
        <v>199</v>
      </c>
      <c r="K943" t="s">
        <v>930</v>
      </c>
      <c r="L943" t="s">
        <v>930</v>
      </c>
      <c r="M943" t="s">
        <v>1048</v>
      </c>
      <c r="N943" t="s">
        <v>108</v>
      </c>
      <c r="O943" t="s">
        <v>33</v>
      </c>
      <c r="P943" t="s">
        <v>34</v>
      </c>
      <c r="Q943">
        <v>1</v>
      </c>
      <c r="R943">
        <v>0</v>
      </c>
      <c r="S943" s="2" t="str">
        <f>IFERROR(VLOOKUP(C943,Sheet2!B:E,4,0),C943)</f>
        <v>一般产品</v>
      </c>
    </row>
    <row r="944" spans="1:19" x14ac:dyDescent="0.2">
      <c r="A944" t="s">
        <v>3211</v>
      </c>
      <c r="B944">
        <v>3999</v>
      </c>
      <c r="C944" t="s">
        <v>589</v>
      </c>
      <c r="D944" t="s">
        <v>50</v>
      </c>
      <c r="E944" t="s">
        <v>1297</v>
      </c>
      <c r="F944" t="s">
        <v>3212</v>
      </c>
      <c r="G944" s="2" t="s">
        <v>3213</v>
      </c>
      <c r="H944" t="s">
        <v>18</v>
      </c>
      <c r="I944" t="s">
        <v>198</v>
      </c>
      <c r="J944" t="s">
        <v>199</v>
      </c>
      <c r="K944" t="s">
        <v>930</v>
      </c>
      <c r="L944" t="s">
        <v>930</v>
      </c>
      <c r="M944" t="s">
        <v>1048</v>
      </c>
      <c r="N944" t="s">
        <v>108</v>
      </c>
      <c r="O944" t="s">
        <v>33</v>
      </c>
      <c r="P944" t="s">
        <v>34</v>
      </c>
      <c r="Q944">
        <v>1</v>
      </c>
      <c r="R944">
        <v>0</v>
      </c>
      <c r="S944" s="2" t="str">
        <f>IFERROR(VLOOKUP(C944,Sheet2!B:E,4,0),C944)</f>
        <v>优惠产品</v>
      </c>
    </row>
    <row r="945" spans="1:19" x14ac:dyDescent="0.2">
      <c r="A945" t="s">
        <v>3214</v>
      </c>
      <c r="B945">
        <v>1598</v>
      </c>
      <c r="C945" t="s">
        <v>26</v>
      </c>
      <c r="D945" t="s">
        <v>971</v>
      </c>
      <c r="E945" t="s">
        <v>3215</v>
      </c>
      <c r="F945" t="s">
        <v>325</v>
      </c>
      <c r="G945" s="2" t="s">
        <v>326</v>
      </c>
      <c r="H945" t="s">
        <v>18</v>
      </c>
      <c r="I945" t="s">
        <v>930</v>
      </c>
      <c r="J945" t="s">
        <v>930</v>
      </c>
      <c r="K945" t="s">
        <v>930</v>
      </c>
      <c r="L945" t="s">
        <v>930</v>
      </c>
      <c r="M945" t="s">
        <v>45</v>
      </c>
      <c r="N945" t="s">
        <v>46</v>
      </c>
      <c r="O945" t="s">
        <v>39</v>
      </c>
      <c r="P945" t="s">
        <v>25</v>
      </c>
      <c r="Q945">
        <v>1</v>
      </c>
      <c r="R945">
        <v>0</v>
      </c>
      <c r="S945" s="2" t="str">
        <f>IFERROR(VLOOKUP(C945,Sheet2!B:E,4,0),C945)</f>
        <v>一般产品</v>
      </c>
    </row>
    <row r="946" spans="1:19" x14ac:dyDescent="0.2">
      <c r="A946" t="s">
        <v>3216</v>
      </c>
      <c r="B946">
        <v>2398</v>
      </c>
      <c r="C946" t="s">
        <v>589</v>
      </c>
      <c r="D946" t="s">
        <v>50</v>
      </c>
      <c r="E946" t="s">
        <v>3217</v>
      </c>
      <c r="F946" t="s">
        <v>1694</v>
      </c>
      <c r="G946" s="2" t="s">
        <v>1695</v>
      </c>
      <c r="H946" t="s">
        <v>18</v>
      </c>
      <c r="I946" t="s">
        <v>191</v>
      </c>
      <c r="J946" t="s">
        <v>192</v>
      </c>
      <c r="K946" t="s">
        <v>930</v>
      </c>
      <c r="L946" t="s">
        <v>930</v>
      </c>
      <c r="M946" t="s">
        <v>193</v>
      </c>
      <c r="N946" t="s">
        <v>194</v>
      </c>
      <c r="O946" t="s">
        <v>24</v>
      </c>
      <c r="P946" t="s">
        <v>25</v>
      </c>
      <c r="Q946">
        <v>1</v>
      </c>
      <c r="R946">
        <v>0</v>
      </c>
      <c r="S946" s="2" t="str">
        <f>IFERROR(VLOOKUP(C946,Sheet2!B:E,4,0),C946)</f>
        <v>优惠产品</v>
      </c>
    </row>
    <row r="947" spans="1:19" x14ac:dyDescent="0.2">
      <c r="A947" t="s">
        <v>3218</v>
      </c>
      <c r="B947">
        <v>1500</v>
      </c>
      <c r="C947" t="s">
        <v>26</v>
      </c>
      <c r="D947" t="s">
        <v>50</v>
      </c>
      <c r="E947" t="s">
        <v>680</v>
      </c>
      <c r="F947" t="s">
        <v>501</v>
      </c>
      <c r="G947" s="2" t="s">
        <v>502</v>
      </c>
      <c r="H947" t="s">
        <v>18</v>
      </c>
      <c r="I947" t="s">
        <v>118</v>
      </c>
      <c r="J947" t="s">
        <v>119</v>
      </c>
      <c r="K947" t="s">
        <v>930</v>
      </c>
      <c r="L947" t="s">
        <v>930</v>
      </c>
      <c r="M947" t="s">
        <v>120</v>
      </c>
      <c r="N947" t="s">
        <v>85</v>
      </c>
      <c r="O947" t="s">
        <v>33</v>
      </c>
      <c r="P947" t="s">
        <v>34</v>
      </c>
      <c r="Q947">
        <v>1</v>
      </c>
      <c r="R947">
        <v>0</v>
      </c>
      <c r="S947" s="2" t="str">
        <f>IFERROR(VLOOKUP(C947,Sheet2!B:E,4,0),C947)</f>
        <v>一般产品</v>
      </c>
    </row>
    <row r="948" spans="1:19" x14ac:dyDescent="0.2">
      <c r="A948" t="s">
        <v>3219</v>
      </c>
      <c r="B948">
        <v>3600</v>
      </c>
      <c r="C948" t="s">
        <v>26</v>
      </c>
      <c r="D948" t="s">
        <v>971</v>
      </c>
      <c r="E948" t="s">
        <v>760</v>
      </c>
      <c r="F948" t="s">
        <v>540</v>
      </c>
      <c r="G948" s="2" t="s">
        <v>541</v>
      </c>
      <c r="H948" t="s">
        <v>18</v>
      </c>
      <c r="I948" t="s">
        <v>260</v>
      </c>
      <c r="J948" t="s">
        <v>261</v>
      </c>
      <c r="K948" t="s">
        <v>930</v>
      </c>
      <c r="L948" t="s">
        <v>930</v>
      </c>
      <c r="M948" t="s">
        <v>262</v>
      </c>
      <c r="N948" t="s">
        <v>45</v>
      </c>
      <c r="O948" t="s">
        <v>48</v>
      </c>
      <c r="P948" t="s">
        <v>49</v>
      </c>
      <c r="Q948">
        <v>1</v>
      </c>
      <c r="R948">
        <v>0</v>
      </c>
      <c r="S948" s="2" t="str">
        <f>IFERROR(VLOOKUP(C948,Sheet2!B:E,4,0),C948)</f>
        <v>一般产品</v>
      </c>
    </row>
    <row r="949" spans="1:19" x14ac:dyDescent="0.2">
      <c r="A949" t="s">
        <v>3220</v>
      </c>
      <c r="B949">
        <v>1799</v>
      </c>
      <c r="C949" t="s">
        <v>575</v>
      </c>
      <c r="D949" t="s">
        <v>2257</v>
      </c>
      <c r="E949" t="s">
        <v>1763</v>
      </c>
      <c r="F949" t="s">
        <v>1163</v>
      </c>
      <c r="G949" s="2" t="s">
        <v>1164</v>
      </c>
      <c r="H949" t="s">
        <v>18</v>
      </c>
      <c r="I949" t="s">
        <v>930</v>
      </c>
      <c r="J949" t="s">
        <v>930</v>
      </c>
      <c r="K949" t="s">
        <v>448</v>
      </c>
      <c r="L949" t="s">
        <v>930</v>
      </c>
      <c r="M949" t="s">
        <v>449</v>
      </c>
      <c r="N949" t="s">
        <v>194</v>
      </c>
      <c r="O949" t="s">
        <v>24</v>
      </c>
      <c r="P949" t="s">
        <v>25</v>
      </c>
      <c r="Q949">
        <v>1</v>
      </c>
      <c r="R949">
        <v>0</v>
      </c>
      <c r="S949" s="2" t="str">
        <f>IFERROR(VLOOKUP(C949,Sheet2!B:E,4,0),C949)</f>
        <v>优惠产品</v>
      </c>
    </row>
    <row r="950" spans="1:19" x14ac:dyDescent="0.2">
      <c r="A950" t="s">
        <v>3221</v>
      </c>
      <c r="B950">
        <v>1500</v>
      </c>
      <c r="C950" t="s">
        <v>26</v>
      </c>
      <c r="D950" t="s">
        <v>50</v>
      </c>
      <c r="E950" t="s">
        <v>773</v>
      </c>
      <c r="F950" t="s">
        <v>1306</v>
      </c>
      <c r="G950" s="2" t="s">
        <v>1307</v>
      </c>
      <c r="H950" t="s">
        <v>18</v>
      </c>
      <c r="I950" t="s">
        <v>121</v>
      </c>
      <c r="J950" t="s">
        <v>122</v>
      </c>
      <c r="K950" t="s">
        <v>930</v>
      </c>
      <c r="L950" t="s">
        <v>930</v>
      </c>
      <c r="M950" t="s">
        <v>123</v>
      </c>
      <c r="N950" t="s">
        <v>55</v>
      </c>
      <c r="O950" t="s">
        <v>33</v>
      </c>
      <c r="P950" t="s">
        <v>34</v>
      </c>
      <c r="Q950">
        <v>1</v>
      </c>
      <c r="R950">
        <v>0</v>
      </c>
      <c r="S950" s="2" t="str">
        <f>IFERROR(VLOOKUP(C950,Sheet2!B:E,4,0),C950)</f>
        <v>一般产品</v>
      </c>
    </row>
    <row r="951" spans="1:19" x14ac:dyDescent="0.2">
      <c r="A951" t="s">
        <v>3222</v>
      </c>
      <c r="B951">
        <v>3498</v>
      </c>
      <c r="C951" t="s">
        <v>26</v>
      </c>
      <c r="D951" t="s">
        <v>970</v>
      </c>
      <c r="E951" t="s">
        <v>3223</v>
      </c>
      <c r="F951" t="s">
        <v>1363</v>
      </c>
      <c r="G951" s="2" t="s">
        <v>1364</v>
      </c>
      <c r="H951" t="s">
        <v>18</v>
      </c>
      <c r="I951" t="s">
        <v>930</v>
      </c>
      <c r="J951" t="s">
        <v>930</v>
      </c>
      <c r="K951" t="s">
        <v>842</v>
      </c>
      <c r="L951" t="s">
        <v>930</v>
      </c>
      <c r="M951" t="s">
        <v>932</v>
      </c>
      <c r="N951" t="s">
        <v>85</v>
      </c>
      <c r="O951" t="s">
        <v>33</v>
      </c>
      <c r="P951" t="s">
        <v>34</v>
      </c>
      <c r="Q951">
        <v>1</v>
      </c>
      <c r="R951">
        <v>0</v>
      </c>
      <c r="S951" s="2" t="str">
        <f>IFERROR(VLOOKUP(C951,Sheet2!B:E,4,0),C951)</f>
        <v>一般产品</v>
      </c>
    </row>
    <row r="952" spans="1:19" x14ac:dyDescent="0.2">
      <c r="A952" t="s">
        <v>3224</v>
      </c>
      <c r="B952">
        <v>2999</v>
      </c>
      <c r="C952" t="s">
        <v>26</v>
      </c>
      <c r="D952" t="s">
        <v>50</v>
      </c>
      <c r="E952" t="s">
        <v>1197</v>
      </c>
      <c r="F952" t="s">
        <v>1401</v>
      </c>
      <c r="G952" s="2" t="s">
        <v>1402</v>
      </c>
      <c r="H952" t="s">
        <v>18</v>
      </c>
      <c r="I952" t="s">
        <v>107</v>
      </c>
      <c r="J952" t="s">
        <v>1046</v>
      </c>
      <c r="K952" t="s">
        <v>930</v>
      </c>
      <c r="L952" t="s">
        <v>930</v>
      </c>
      <c r="M952" t="s">
        <v>1047</v>
      </c>
      <c r="N952" t="s">
        <v>108</v>
      </c>
      <c r="O952" t="s">
        <v>33</v>
      </c>
      <c r="P952" t="s">
        <v>34</v>
      </c>
      <c r="Q952">
        <v>1</v>
      </c>
      <c r="R952">
        <v>0</v>
      </c>
      <c r="S952" s="2" t="str">
        <f>IFERROR(VLOOKUP(C952,Sheet2!B:E,4,0),C952)</f>
        <v>一般产品</v>
      </c>
    </row>
    <row r="953" spans="1:19" x14ac:dyDescent="0.2">
      <c r="A953" t="s">
        <v>3225</v>
      </c>
      <c r="B953">
        <v>3398</v>
      </c>
      <c r="C953" t="s">
        <v>26</v>
      </c>
      <c r="D953" t="s">
        <v>726</v>
      </c>
      <c r="E953" t="s">
        <v>2518</v>
      </c>
      <c r="F953" t="s">
        <v>391</v>
      </c>
      <c r="G953" s="2" t="s">
        <v>392</v>
      </c>
      <c r="H953" t="s">
        <v>18</v>
      </c>
      <c r="I953" t="s">
        <v>934</v>
      </c>
      <c r="J953" t="s">
        <v>935</v>
      </c>
      <c r="K953" t="s">
        <v>930</v>
      </c>
      <c r="L953" t="s">
        <v>930</v>
      </c>
      <c r="M953" t="s">
        <v>936</v>
      </c>
      <c r="N953" t="s">
        <v>45</v>
      </c>
      <c r="O953" t="s">
        <v>48</v>
      </c>
      <c r="P953" t="s">
        <v>49</v>
      </c>
      <c r="Q953">
        <v>1</v>
      </c>
      <c r="R953">
        <v>0</v>
      </c>
      <c r="S953" s="2" t="str">
        <f>IFERROR(VLOOKUP(C953,Sheet2!B:E,4,0),C953)</f>
        <v>一般产品</v>
      </c>
    </row>
    <row r="954" spans="1:19" x14ac:dyDescent="0.2">
      <c r="A954" t="s">
        <v>3226</v>
      </c>
      <c r="B954">
        <v>3000</v>
      </c>
      <c r="C954" t="s">
        <v>26</v>
      </c>
      <c r="D954" t="s">
        <v>50</v>
      </c>
      <c r="E954" t="s">
        <v>3227</v>
      </c>
      <c r="F954" t="s">
        <v>3228</v>
      </c>
      <c r="G954" s="2" t="s">
        <v>3229</v>
      </c>
      <c r="H954" t="s">
        <v>18</v>
      </c>
      <c r="I954" t="s">
        <v>930</v>
      </c>
      <c r="J954" t="s">
        <v>930</v>
      </c>
      <c r="K954" t="s">
        <v>79</v>
      </c>
      <c r="L954" t="s">
        <v>930</v>
      </c>
      <c r="M954" t="s">
        <v>80</v>
      </c>
      <c r="N954" t="s">
        <v>51</v>
      </c>
      <c r="O954" t="s">
        <v>33</v>
      </c>
      <c r="P954" t="s">
        <v>34</v>
      </c>
      <c r="Q954">
        <v>1</v>
      </c>
      <c r="R954">
        <v>0</v>
      </c>
      <c r="S954" s="2" t="str">
        <f>IFERROR(VLOOKUP(C954,Sheet2!B:E,4,0),C954)</f>
        <v>一般产品</v>
      </c>
    </row>
    <row r="955" spans="1:19" x14ac:dyDescent="0.2">
      <c r="A955" t="s">
        <v>3230</v>
      </c>
      <c r="B955">
        <v>4100</v>
      </c>
      <c r="C955" t="s">
        <v>26</v>
      </c>
      <c r="D955" t="s">
        <v>50</v>
      </c>
      <c r="E955" t="s">
        <v>3231</v>
      </c>
      <c r="F955" t="s">
        <v>2493</v>
      </c>
      <c r="G955" s="2" t="s">
        <v>2494</v>
      </c>
      <c r="H955" t="s">
        <v>18</v>
      </c>
      <c r="I955" t="s">
        <v>366</v>
      </c>
      <c r="J955" t="s">
        <v>367</v>
      </c>
      <c r="K955" t="s">
        <v>930</v>
      </c>
      <c r="L955" t="s">
        <v>930</v>
      </c>
      <c r="M955" t="s">
        <v>368</v>
      </c>
      <c r="N955" t="s">
        <v>47</v>
      </c>
      <c r="O955" t="s">
        <v>33</v>
      </c>
      <c r="P955" t="s">
        <v>34</v>
      </c>
      <c r="Q955">
        <v>1</v>
      </c>
      <c r="R955">
        <v>0</v>
      </c>
      <c r="S955" s="2" t="str">
        <f>IFERROR(VLOOKUP(C955,Sheet2!B:E,4,0),C955)</f>
        <v>一般产品</v>
      </c>
    </row>
    <row r="956" spans="1:19" x14ac:dyDescent="0.2">
      <c r="A956" t="s">
        <v>3232</v>
      </c>
      <c r="B956">
        <v>2699</v>
      </c>
      <c r="C956" t="s">
        <v>26</v>
      </c>
      <c r="D956" t="s">
        <v>50</v>
      </c>
      <c r="E956" t="s">
        <v>1485</v>
      </c>
      <c r="F956" t="s">
        <v>840</v>
      </c>
      <c r="G956" s="2" t="s">
        <v>841</v>
      </c>
      <c r="H956" t="s">
        <v>18</v>
      </c>
      <c r="I956" t="s">
        <v>207</v>
      </c>
      <c r="J956" t="s">
        <v>208</v>
      </c>
      <c r="K956" t="s">
        <v>930</v>
      </c>
      <c r="L956" t="s">
        <v>930</v>
      </c>
      <c r="M956" t="s">
        <v>209</v>
      </c>
      <c r="N956" t="s">
        <v>32</v>
      </c>
      <c r="O956" t="s">
        <v>33</v>
      </c>
      <c r="P956" t="s">
        <v>34</v>
      </c>
      <c r="Q956">
        <v>1</v>
      </c>
      <c r="R956">
        <v>0</v>
      </c>
      <c r="S956" s="2" t="str">
        <f>IFERROR(VLOOKUP(C956,Sheet2!B:E,4,0),C956)</f>
        <v>一般产品</v>
      </c>
    </row>
    <row r="957" spans="1:19" x14ac:dyDescent="0.2">
      <c r="A957" t="s">
        <v>3233</v>
      </c>
      <c r="B957">
        <v>1700</v>
      </c>
      <c r="C957" t="s">
        <v>26</v>
      </c>
      <c r="D957" t="s">
        <v>50</v>
      </c>
      <c r="E957" t="s">
        <v>595</v>
      </c>
      <c r="F957" t="s">
        <v>1351</v>
      </c>
      <c r="G957" s="2" t="s">
        <v>1352</v>
      </c>
      <c r="H957" t="s">
        <v>28</v>
      </c>
      <c r="I957" t="s">
        <v>97</v>
      </c>
      <c r="J957" t="s">
        <v>98</v>
      </c>
      <c r="K957" t="s">
        <v>930</v>
      </c>
      <c r="L957" t="s">
        <v>930</v>
      </c>
      <c r="M957" t="s">
        <v>99</v>
      </c>
      <c r="N957" t="s">
        <v>55</v>
      </c>
      <c r="O957" t="s">
        <v>33</v>
      </c>
      <c r="P957" t="s">
        <v>34</v>
      </c>
      <c r="Q957">
        <v>1</v>
      </c>
      <c r="R957">
        <v>0</v>
      </c>
      <c r="S957" s="2" t="str">
        <f>IFERROR(VLOOKUP(C957,Sheet2!B:E,4,0),C957)</f>
        <v>一般产品</v>
      </c>
    </row>
    <row r="958" spans="1:19" x14ac:dyDescent="0.2">
      <c r="A958" t="s">
        <v>3234</v>
      </c>
      <c r="B958">
        <v>1400</v>
      </c>
      <c r="C958" t="s">
        <v>26</v>
      </c>
      <c r="D958" t="s">
        <v>50</v>
      </c>
      <c r="E958" t="s">
        <v>142</v>
      </c>
      <c r="F958" t="s">
        <v>382</v>
      </c>
      <c r="G958" s="2" t="s">
        <v>383</v>
      </c>
      <c r="H958" t="s">
        <v>18</v>
      </c>
      <c r="I958" t="s">
        <v>29</v>
      </c>
      <c r="J958" t="s">
        <v>30</v>
      </c>
      <c r="K958" t="s">
        <v>930</v>
      </c>
      <c r="L958" t="s">
        <v>930</v>
      </c>
      <c r="M958" t="s">
        <v>31</v>
      </c>
      <c r="N958" t="s">
        <v>32</v>
      </c>
      <c r="O958" t="s">
        <v>33</v>
      </c>
      <c r="P958" t="s">
        <v>34</v>
      </c>
      <c r="Q958">
        <v>1</v>
      </c>
      <c r="R958">
        <v>0</v>
      </c>
      <c r="S958" s="2" t="str">
        <f>IFERROR(VLOOKUP(C958,Sheet2!B:E,4,0),C958)</f>
        <v>一般产品</v>
      </c>
    </row>
    <row r="959" spans="1:19" x14ac:dyDescent="0.2">
      <c r="A959" t="s">
        <v>3235</v>
      </c>
      <c r="B959">
        <v>2999</v>
      </c>
      <c r="C959" t="s">
        <v>26</v>
      </c>
      <c r="D959" t="s">
        <v>50</v>
      </c>
      <c r="E959" t="s">
        <v>3236</v>
      </c>
      <c r="F959" t="s">
        <v>1389</v>
      </c>
      <c r="G959" s="2" t="s">
        <v>1390</v>
      </c>
      <c r="H959" t="s">
        <v>18</v>
      </c>
      <c r="I959" t="s">
        <v>286</v>
      </c>
      <c r="J959" t="s">
        <v>287</v>
      </c>
      <c r="K959" t="s">
        <v>930</v>
      </c>
      <c r="L959" t="s">
        <v>930</v>
      </c>
      <c r="M959" t="s">
        <v>288</v>
      </c>
      <c r="N959" t="s">
        <v>85</v>
      </c>
      <c r="O959" t="s">
        <v>33</v>
      </c>
      <c r="P959" t="s">
        <v>34</v>
      </c>
      <c r="Q959">
        <v>1</v>
      </c>
      <c r="R959">
        <v>0</v>
      </c>
      <c r="S959" s="2" t="str">
        <f>IFERROR(VLOOKUP(C959,Sheet2!B:E,4,0),C959)</f>
        <v>一般产品</v>
      </c>
    </row>
    <row r="960" spans="1:19" x14ac:dyDescent="0.2">
      <c r="A960" t="s">
        <v>3237</v>
      </c>
      <c r="B960">
        <v>2399</v>
      </c>
      <c r="C960" t="s">
        <v>26</v>
      </c>
      <c r="D960" t="s">
        <v>971</v>
      </c>
      <c r="E960" t="s">
        <v>1464</v>
      </c>
      <c r="F960" t="s">
        <v>1118</v>
      </c>
      <c r="G960" s="2" t="s">
        <v>1119</v>
      </c>
      <c r="H960" t="s">
        <v>28</v>
      </c>
      <c r="I960" t="s">
        <v>147</v>
      </c>
      <c r="J960" t="s">
        <v>148</v>
      </c>
      <c r="K960" t="s">
        <v>930</v>
      </c>
      <c r="L960" t="s">
        <v>930</v>
      </c>
      <c r="M960" t="s">
        <v>149</v>
      </c>
      <c r="N960" t="s">
        <v>73</v>
      </c>
      <c r="O960" t="s">
        <v>24</v>
      </c>
      <c r="P960" t="s">
        <v>25</v>
      </c>
      <c r="Q960">
        <v>1</v>
      </c>
      <c r="R960">
        <v>0</v>
      </c>
      <c r="S960" s="2" t="str">
        <f>IFERROR(VLOOKUP(C960,Sheet2!B:E,4,0),C960)</f>
        <v>一般产品</v>
      </c>
    </row>
    <row r="961" spans="1:19" x14ac:dyDescent="0.2">
      <c r="A961" t="s">
        <v>3238</v>
      </c>
      <c r="B961">
        <v>1700</v>
      </c>
      <c r="C961" t="s">
        <v>26</v>
      </c>
      <c r="D961" t="s">
        <v>50</v>
      </c>
      <c r="E961" t="s">
        <v>142</v>
      </c>
      <c r="F961" t="s">
        <v>382</v>
      </c>
      <c r="G961" s="2" t="s">
        <v>383</v>
      </c>
      <c r="H961" t="s">
        <v>18</v>
      </c>
      <c r="I961" t="s">
        <v>29</v>
      </c>
      <c r="J961" t="s">
        <v>30</v>
      </c>
      <c r="K961" t="s">
        <v>930</v>
      </c>
      <c r="L961" t="s">
        <v>930</v>
      </c>
      <c r="M961" t="s">
        <v>31</v>
      </c>
      <c r="N961" t="s">
        <v>32</v>
      </c>
      <c r="O961" t="s">
        <v>33</v>
      </c>
      <c r="P961" t="s">
        <v>34</v>
      </c>
      <c r="Q961">
        <v>1</v>
      </c>
      <c r="R961">
        <v>0</v>
      </c>
      <c r="S961" s="2" t="str">
        <f>IFERROR(VLOOKUP(C961,Sheet2!B:E,4,0),C961)</f>
        <v>一般产品</v>
      </c>
    </row>
    <row r="962" spans="1:19" x14ac:dyDescent="0.2">
      <c r="A962" t="s">
        <v>3239</v>
      </c>
      <c r="B962">
        <v>1999</v>
      </c>
      <c r="C962" t="s">
        <v>26</v>
      </c>
      <c r="D962" t="s">
        <v>2257</v>
      </c>
      <c r="E962" t="s">
        <v>3240</v>
      </c>
      <c r="F962" t="s">
        <v>849</v>
      </c>
      <c r="G962" s="2" t="s">
        <v>850</v>
      </c>
      <c r="H962" t="s">
        <v>18</v>
      </c>
      <c r="I962" t="s">
        <v>81</v>
      </c>
      <c r="J962" t="s">
        <v>1230</v>
      </c>
      <c r="K962" t="s">
        <v>930</v>
      </c>
      <c r="L962" t="s">
        <v>930</v>
      </c>
      <c r="M962" t="s">
        <v>1231</v>
      </c>
      <c r="N962" t="s">
        <v>68</v>
      </c>
      <c r="O962" t="s">
        <v>33</v>
      </c>
      <c r="P962" t="s">
        <v>34</v>
      </c>
      <c r="Q962">
        <v>1</v>
      </c>
      <c r="R962">
        <v>0</v>
      </c>
      <c r="S962" s="2" t="str">
        <f>IFERROR(VLOOKUP(C962,Sheet2!B:E,4,0),C962)</f>
        <v>一般产品</v>
      </c>
    </row>
    <row r="963" spans="1:19" x14ac:dyDescent="0.2">
      <c r="A963" t="s">
        <v>3241</v>
      </c>
      <c r="B963">
        <v>3000</v>
      </c>
      <c r="C963" t="s">
        <v>26</v>
      </c>
      <c r="D963" t="s">
        <v>50</v>
      </c>
      <c r="E963" t="s">
        <v>1450</v>
      </c>
      <c r="F963" t="s">
        <v>1501</v>
      </c>
      <c r="G963" s="2" t="s">
        <v>1502</v>
      </c>
      <c r="H963" t="s">
        <v>18</v>
      </c>
      <c r="I963" t="s">
        <v>255</v>
      </c>
      <c r="J963" t="s">
        <v>256</v>
      </c>
      <c r="K963" t="s">
        <v>930</v>
      </c>
      <c r="L963" t="s">
        <v>930</v>
      </c>
      <c r="M963" t="s">
        <v>257</v>
      </c>
      <c r="N963" t="s">
        <v>47</v>
      </c>
      <c r="O963" t="s">
        <v>33</v>
      </c>
      <c r="P963" t="s">
        <v>34</v>
      </c>
      <c r="Q963">
        <v>1</v>
      </c>
      <c r="R963">
        <v>0</v>
      </c>
      <c r="S963" s="2" t="str">
        <f>IFERROR(VLOOKUP(C963,Sheet2!B:E,4,0),C963)</f>
        <v>一般产品</v>
      </c>
    </row>
    <row r="964" spans="1:19" x14ac:dyDescent="0.2">
      <c r="A964" t="s">
        <v>3242</v>
      </c>
      <c r="B964">
        <v>3530</v>
      </c>
      <c r="C964" t="s">
        <v>26</v>
      </c>
      <c r="D964" t="s">
        <v>50</v>
      </c>
      <c r="E964" t="s">
        <v>3243</v>
      </c>
      <c r="F964" t="s">
        <v>3244</v>
      </c>
      <c r="G964" s="2" t="s">
        <v>3245</v>
      </c>
      <c r="H964" t="s">
        <v>18</v>
      </c>
      <c r="I964" t="s">
        <v>930</v>
      </c>
      <c r="J964" t="s">
        <v>930</v>
      </c>
      <c r="K964" t="s">
        <v>235</v>
      </c>
      <c r="L964" t="s">
        <v>930</v>
      </c>
      <c r="M964" t="s">
        <v>236</v>
      </c>
      <c r="N964" t="s">
        <v>55</v>
      </c>
      <c r="O964" t="s">
        <v>33</v>
      </c>
      <c r="P964" t="s">
        <v>34</v>
      </c>
      <c r="Q964">
        <v>1</v>
      </c>
      <c r="R964">
        <v>0</v>
      </c>
      <c r="S964" s="2" t="str">
        <f>IFERROR(VLOOKUP(C964,Sheet2!B:E,4,0),C964)</f>
        <v>一般产品</v>
      </c>
    </row>
    <row r="965" spans="1:19" x14ac:dyDescent="0.2">
      <c r="A965" t="s">
        <v>3246</v>
      </c>
      <c r="B965">
        <v>2798</v>
      </c>
      <c r="C965" t="s">
        <v>580</v>
      </c>
      <c r="D965" t="s">
        <v>2257</v>
      </c>
      <c r="E965" t="s">
        <v>1349</v>
      </c>
      <c r="F965" t="s">
        <v>797</v>
      </c>
      <c r="G965" s="2" t="s">
        <v>798</v>
      </c>
      <c r="H965" t="s">
        <v>18</v>
      </c>
      <c r="I965" t="s">
        <v>250</v>
      </c>
      <c r="J965" t="s">
        <v>251</v>
      </c>
      <c r="K965" t="s">
        <v>930</v>
      </c>
      <c r="L965" t="s">
        <v>930</v>
      </c>
      <c r="M965" t="s">
        <v>252</v>
      </c>
      <c r="N965" t="s">
        <v>44</v>
      </c>
      <c r="O965" t="s">
        <v>24</v>
      </c>
      <c r="P965" t="s">
        <v>25</v>
      </c>
      <c r="Q965">
        <v>1</v>
      </c>
      <c r="R965">
        <v>0</v>
      </c>
      <c r="S965" s="2" t="str">
        <f>IFERROR(VLOOKUP(C965,Sheet2!B:E,4,0),C965)</f>
        <v>10期贷</v>
      </c>
    </row>
    <row r="966" spans="1:19" x14ac:dyDescent="0.2">
      <c r="A966" t="s">
        <v>3247</v>
      </c>
      <c r="B966">
        <v>2499</v>
      </c>
      <c r="C966" t="s">
        <v>26</v>
      </c>
      <c r="D966" t="s">
        <v>50</v>
      </c>
      <c r="E966" t="s">
        <v>2278</v>
      </c>
      <c r="F966" t="s">
        <v>177</v>
      </c>
      <c r="G966" s="2" t="s">
        <v>178</v>
      </c>
      <c r="H966" t="s">
        <v>28</v>
      </c>
      <c r="I966" t="s">
        <v>81</v>
      </c>
      <c r="J966" t="s">
        <v>1230</v>
      </c>
      <c r="K966" t="s">
        <v>930</v>
      </c>
      <c r="L966" t="s">
        <v>930</v>
      </c>
      <c r="M966" t="s">
        <v>1231</v>
      </c>
      <c r="N966" t="s">
        <v>68</v>
      </c>
      <c r="O966" t="s">
        <v>33</v>
      </c>
      <c r="P966" t="s">
        <v>34</v>
      </c>
      <c r="Q966">
        <v>1</v>
      </c>
      <c r="R966">
        <v>0</v>
      </c>
      <c r="S966" s="2" t="str">
        <f>IFERROR(VLOOKUP(C966,Sheet2!B:E,4,0),C966)</f>
        <v>一般产品</v>
      </c>
    </row>
    <row r="967" spans="1:19" x14ac:dyDescent="0.2">
      <c r="A967" t="s">
        <v>3248</v>
      </c>
      <c r="B967">
        <v>1598</v>
      </c>
      <c r="C967" t="s">
        <v>26</v>
      </c>
      <c r="D967" t="s">
        <v>2257</v>
      </c>
      <c r="E967" t="s">
        <v>3249</v>
      </c>
      <c r="F967" t="s">
        <v>272</v>
      </c>
      <c r="G967" s="2" t="s">
        <v>273</v>
      </c>
      <c r="H967" t="s">
        <v>18</v>
      </c>
      <c r="I967" t="s">
        <v>930</v>
      </c>
      <c r="J967" t="s">
        <v>930</v>
      </c>
      <c r="K967" t="s">
        <v>274</v>
      </c>
      <c r="L967" t="s">
        <v>930</v>
      </c>
      <c r="M967" t="s">
        <v>275</v>
      </c>
      <c r="N967" t="s">
        <v>60</v>
      </c>
      <c r="O967" t="s">
        <v>72</v>
      </c>
      <c r="P967" t="s">
        <v>34</v>
      </c>
      <c r="Q967">
        <v>1</v>
      </c>
      <c r="R967">
        <v>0</v>
      </c>
      <c r="S967" s="2" t="str">
        <f>IFERROR(VLOOKUP(C967,Sheet2!B:E,4,0),C967)</f>
        <v>一般产品</v>
      </c>
    </row>
    <row r="968" spans="1:19" x14ac:dyDescent="0.2">
      <c r="A968" t="s">
        <v>3250</v>
      </c>
      <c r="B968">
        <v>3980</v>
      </c>
      <c r="C968" t="s">
        <v>575</v>
      </c>
      <c r="D968" t="s">
        <v>971</v>
      </c>
      <c r="E968" t="s">
        <v>557</v>
      </c>
      <c r="F968" t="s">
        <v>1431</v>
      </c>
      <c r="G968" s="2" t="s">
        <v>1432</v>
      </c>
      <c r="H968" t="s">
        <v>18</v>
      </c>
      <c r="I968" t="s">
        <v>151</v>
      </c>
      <c r="J968" t="s">
        <v>152</v>
      </c>
      <c r="K968" t="s">
        <v>930</v>
      </c>
      <c r="L968" t="s">
        <v>930</v>
      </c>
      <c r="M968" t="s">
        <v>153</v>
      </c>
      <c r="N968" t="s">
        <v>61</v>
      </c>
      <c r="O968" t="s">
        <v>129</v>
      </c>
      <c r="P968" t="s">
        <v>25</v>
      </c>
      <c r="Q968">
        <v>1</v>
      </c>
      <c r="R968">
        <v>0</v>
      </c>
      <c r="S968" s="2" t="str">
        <f>IFERROR(VLOOKUP(C968,Sheet2!B:E,4,0),C968)</f>
        <v>优惠产品</v>
      </c>
    </row>
    <row r="969" spans="1:19" x14ac:dyDescent="0.2">
      <c r="A969" t="s">
        <v>3251</v>
      </c>
      <c r="B969">
        <v>1400</v>
      </c>
      <c r="C969" t="s">
        <v>26</v>
      </c>
      <c r="D969" t="s">
        <v>50</v>
      </c>
      <c r="E969" t="s">
        <v>3252</v>
      </c>
      <c r="F969" t="s">
        <v>708</v>
      </c>
      <c r="G969" s="2" t="s">
        <v>709</v>
      </c>
      <c r="H969" t="s">
        <v>18</v>
      </c>
      <c r="I969" t="s">
        <v>164</v>
      </c>
      <c r="J969" t="s">
        <v>165</v>
      </c>
      <c r="K969" t="s">
        <v>930</v>
      </c>
      <c r="L969" t="s">
        <v>930</v>
      </c>
      <c r="M969" t="s">
        <v>166</v>
      </c>
      <c r="N969" t="s">
        <v>55</v>
      </c>
      <c r="O969" t="s">
        <v>33</v>
      </c>
      <c r="P969" t="s">
        <v>34</v>
      </c>
      <c r="Q969">
        <v>1</v>
      </c>
      <c r="R969">
        <v>0</v>
      </c>
      <c r="S969" s="2" t="str">
        <f>IFERROR(VLOOKUP(C969,Sheet2!B:E,4,0),C969)</f>
        <v>一般产品</v>
      </c>
    </row>
    <row r="970" spans="1:19" x14ac:dyDescent="0.2">
      <c r="A970" t="s">
        <v>3253</v>
      </c>
      <c r="B970">
        <v>2798</v>
      </c>
      <c r="C970" t="s">
        <v>589</v>
      </c>
      <c r="D970" t="s">
        <v>50</v>
      </c>
      <c r="E970" t="s">
        <v>1087</v>
      </c>
      <c r="F970" t="s">
        <v>1360</v>
      </c>
      <c r="G970" s="2" t="s">
        <v>1361</v>
      </c>
      <c r="H970" t="s">
        <v>18</v>
      </c>
      <c r="I970" t="s">
        <v>277</v>
      </c>
      <c r="J970" t="s">
        <v>278</v>
      </c>
      <c r="K970" t="s">
        <v>930</v>
      </c>
      <c r="L970" t="s">
        <v>930</v>
      </c>
      <c r="M970" t="s">
        <v>279</v>
      </c>
      <c r="N970" t="s">
        <v>44</v>
      </c>
      <c r="O970" t="s">
        <v>24</v>
      </c>
      <c r="P970" t="s">
        <v>25</v>
      </c>
      <c r="Q970">
        <v>1</v>
      </c>
      <c r="R970">
        <v>0</v>
      </c>
      <c r="S970" s="2" t="str">
        <f>IFERROR(VLOOKUP(C970,Sheet2!B:E,4,0),C970)</f>
        <v>优惠产品</v>
      </c>
    </row>
    <row r="971" spans="1:19" x14ac:dyDescent="0.2">
      <c r="A971" t="s">
        <v>3254</v>
      </c>
      <c r="B971">
        <v>2998</v>
      </c>
      <c r="C971" t="s">
        <v>26</v>
      </c>
      <c r="D971" t="s">
        <v>2257</v>
      </c>
      <c r="E971" t="s">
        <v>3255</v>
      </c>
      <c r="F971" t="s">
        <v>550</v>
      </c>
      <c r="G971" s="2" t="s">
        <v>551</v>
      </c>
      <c r="H971" t="s">
        <v>28</v>
      </c>
      <c r="I971" t="s">
        <v>269</v>
      </c>
      <c r="J971" t="s">
        <v>270</v>
      </c>
      <c r="K971" t="s">
        <v>930</v>
      </c>
      <c r="L971" t="s">
        <v>930</v>
      </c>
      <c r="M971" t="s">
        <v>271</v>
      </c>
      <c r="N971" t="s">
        <v>47</v>
      </c>
      <c r="O971" t="s">
        <v>33</v>
      </c>
      <c r="P971" t="s">
        <v>34</v>
      </c>
      <c r="Q971">
        <v>1</v>
      </c>
      <c r="R971">
        <v>0</v>
      </c>
      <c r="S971" s="2" t="str">
        <f>IFERROR(VLOOKUP(C971,Sheet2!B:E,4,0),C971)</f>
        <v>一般产品</v>
      </c>
    </row>
    <row r="972" spans="1:19" x14ac:dyDescent="0.2">
      <c r="A972" t="s">
        <v>3256</v>
      </c>
      <c r="B972">
        <v>4000</v>
      </c>
      <c r="C972" t="s">
        <v>589</v>
      </c>
      <c r="D972" t="s">
        <v>50</v>
      </c>
      <c r="E972" t="s">
        <v>3257</v>
      </c>
      <c r="F972" t="s">
        <v>1033</v>
      </c>
      <c r="G972" s="2" t="s">
        <v>1034</v>
      </c>
      <c r="H972" t="s">
        <v>18</v>
      </c>
      <c r="I972" t="s">
        <v>143</v>
      </c>
      <c r="J972" t="s">
        <v>144</v>
      </c>
      <c r="K972" t="s">
        <v>930</v>
      </c>
      <c r="L972" t="s">
        <v>930</v>
      </c>
      <c r="M972" t="s">
        <v>145</v>
      </c>
      <c r="N972" t="s">
        <v>146</v>
      </c>
      <c r="O972" t="s">
        <v>33</v>
      </c>
      <c r="P972" t="s">
        <v>34</v>
      </c>
      <c r="Q972">
        <v>1</v>
      </c>
      <c r="R972">
        <v>0</v>
      </c>
      <c r="S972" s="2" t="str">
        <f>IFERROR(VLOOKUP(C972,Sheet2!B:E,4,0),C972)</f>
        <v>优惠产品</v>
      </c>
    </row>
    <row r="973" spans="1:19" x14ac:dyDescent="0.2">
      <c r="A973" t="s">
        <v>3258</v>
      </c>
      <c r="B973">
        <v>2199</v>
      </c>
      <c r="C973" t="s">
        <v>580</v>
      </c>
      <c r="D973" t="s">
        <v>50</v>
      </c>
      <c r="E973" t="s">
        <v>1129</v>
      </c>
      <c r="F973" t="s">
        <v>1082</v>
      </c>
      <c r="G973" s="2" t="s">
        <v>1083</v>
      </c>
      <c r="H973" t="s">
        <v>28</v>
      </c>
      <c r="I973" t="s">
        <v>343</v>
      </c>
      <c r="J973" t="s">
        <v>344</v>
      </c>
      <c r="K973" t="s">
        <v>930</v>
      </c>
      <c r="L973" t="s">
        <v>930</v>
      </c>
      <c r="M973" t="s">
        <v>345</v>
      </c>
      <c r="N973" t="s">
        <v>114</v>
      </c>
      <c r="O973" t="s">
        <v>24</v>
      </c>
      <c r="P973" t="s">
        <v>25</v>
      </c>
      <c r="Q973">
        <v>1</v>
      </c>
      <c r="R973">
        <v>0</v>
      </c>
      <c r="S973" s="2" t="str">
        <f>IFERROR(VLOOKUP(C973,Sheet2!B:E,4,0),C973)</f>
        <v>10期贷</v>
      </c>
    </row>
    <row r="974" spans="1:19" x14ac:dyDescent="0.2">
      <c r="A974" t="s">
        <v>3259</v>
      </c>
      <c r="B974">
        <v>2600</v>
      </c>
      <c r="C974" t="s">
        <v>26</v>
      </c>
      <c r="D974" t="s">
        <v>50</v>
      </c>
      <c r="E974" t="s">
        <v>3260</v>
      </c>
      <c r="F974" t="s">
        <v>1491</v>
      </c>
      <c r="G974" s="2" t="s">
        <v>1492</v>
      </c>
      <c r="H974" t="s">
        <v>18</v>
      </c>
      <c r="I974" t="s">
        <v>107</v>
      </c>
      <c r="J974" t="s">
        <v>1046</v>
      </c>
      <c r="K974" t="s">
        <v>930</v>
      </c>
      <c r="L974" t="s">
        <v>930</v>
      </c>
      <c r="M974" t="s">
        <v>1047</v>
      </c>
      <c r="N974" t="s">
        <v>108</v>
      </c>
      <c r="O974" t="s">
        <v>33</v>
      </c>
      <c r="P974" t="s">
        <v>34</v>
      </c>
      <c r="Q974">
        <v>1</v>
      </c>
      <c r="R974">
        <v>0</v>
      </c>
      <c r="S974" s="2" t="str">
        <f>IFERROR(VLOOKUP(C974,Sheet2!B:E,4,0),C974)</f>
        <v>一般产品</v>
      </c>
    </row>
    <row r="975" spans="1:19" x14ac:dyDescent="0.2">
      <c r="A975" t="s">
        <v>3261</v>
      </c>
      <c r="B975">
        <v>3498</v>
      </c>
      <c r="C975" t="s">
        <v>575</v>
      </c>
      <c r="D975" t="s">
        <v>2257</v>
      </c>
      <c r="E975" t="s">
        <v>3262</v>
      </c>
      <c r="F975" t="s">
        <v>1442</v>
      </c>
      <c r="G975" s="2" t="s">
        <v>1443</v>
      </c>
      <c r="H975" t="s">
        <v>18</v>
      </c>
      <c r="I975" t="s">
        <v>224</v>
      </c>
      <c r="J975" t="s">
        <v>225</v>
      </c>
      <c r="K975" t="s">
        <v>930</v>
      </c>
      <c r="L975" t="s">
        <v>930</v>
      </c>
      <c r="M975" t="s">
        <v>226</v>
      </c>
      <c r="N975" t="s">
        <v>136</v>
      </c>
      <c r="O975" t="s">
        <v>95</v>
      </c>
      <c r="P975" t="s">
        <v>90</v>
      </c>
      <c r="Q975">
        <v>1</v>
      </c>
      <c r="R975">
        <v>0</v>
      </c>
      <c r="S975" s="2" t="str">
        <f>IFERROR(VLOOKUP(C975,Sheet2!B:E,4,0),C975)</f>
        <v>优惠产品</v>
      </c>
    </row>
    <row r="976" spans="1:19" x14ac:dyDescent="0.2">
      <c r="A976" t="s">
        <v>3263</v>
      </c>
      <c r="B976">
        <v>800</v>
      </c>
      <c r="C976" t="s">
        <v>26</v>
      </c>
      <c r="D976" t="s">
        <v>50</v>
      </c>
      <c r="E976" t="s">
        <v>3264</v>
      </c>
      <c r="F976" t="s">
        <v>1059</v>
      </c>
      <c r="G976" s="2" t="s">
        <v>1060</v>
      </c>
      <c r="H976" t="s">
        <v>18</v>
      </c>
      <c r="I976" t="s">
        <v>930</v>
      </c>
      <c r="J976" t="s">
        <v>930</v>
      </c>
      <c r="K976" t="s">
        <v>471</v>
      </c>
      <c r="L976" t="s">
        <v>930</v>
      </c>
      <c r="M976" t="s">
        <v>472</v>
      </c>
      <c r="N976" t="s">
        <v>47</v>
      </c>
      <c r="O976" t="s">
        <v>33</v>
      </c>
      <c r="P976" t="s">
        <v>34</v>
      </c>
      <c r="Q976">
        <v>1</v>
      </c>
      <c r="R976">
        <v>0</v>
      </c>
      <c r="S976" s="2" t="str">
        <f>IFERROR(VLOOKUP(C976,Sheet2!B:E,4,0),C976)</f>
        <v>一般产品</v>
      </c>
    </row>
  </sheetData>
  <autoFilter ref="A1:S976" xr:uid="{D6D61B1C-C43C-4EAB-B7BA-90FA468E0F50}"/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1CE0-9CB1-48E4-B185-C05861A29BB5}">
  <dimension ref="A1:F42"/>
  <sheetViews>
    <sheetView workbookViewId="0">
      <selection activeCell="G6" sqref="G6"/>
    </sheetView>
  </sheetViews>
  <sheetFormatPr defaultRowHeight="14.25" x14ac:dyDescent="0.2"/>
  <cols>
    <col min="1" max="1" width="5.5" bestFit="1" customWidth="1"/>
    <col min="3" max="3" width="9.25" bestFit="1" customWidth="1"/>
    <col min="4" max="4" width="11.25" bestFit="1" customWidth="1"/>
    <col min="5" max="5" width="21.625" bestFit="1" customWidth="1"/>
    <col min="6" max="6" width="22.5" bestFit="1" customWidth="1"/>
  </cols>
  <sheetData>
    <row r="1" spans="1:6" ht="16.5" x14ac:dyDescent="0.2">
      <c r="A1" s="1" t="s">
        <v>851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</row>
    <row r="2" spans="1:6" ht="16.5" x14ac:dyDescent="0.2">
      <c r="A2" s="3" t="s">
        <v>857</v>
      </c>
      <c r="B2" s="1" t="s">
        <v>858</v>
      </c>
      <c r="C2" s="1">
        <v>100003</v>
      </c>
      <c r="D2" s="1" t="s">
        <v>859</v>
      </c>
      <c r="E2" s="1" t="s">
        <v>858</v>
      </c>
      <c r="F2" s="1"/>
    </row>
    <row r="3" spans="1:6" ht="16.5" x14ac:dyDescent="0.2">
      <c r="A3" s="3"/>
      <c r="B3" s="1" t="s">
        <v>860</v>
      </c>
      <c r="C3" s="1">
        <v>100005</v>
      </c>
      <c r="D3" s="1" t="s">
        <v>859</v>
      </c>
      <c r="E3" s="1" t="s">
        <v>861</v>
      </c>
      <c r="F3" s="1"/>
    </row>
    <row r="4" spans="1:6" ht="16.5" x14ac:dyDescent="0.2">
      <c r="A4" s="3"/>
      <c r="B4" s="1" t="s">
        <v>862</v>
      </c>
      <c r="C4" s="1">
        <v>100006</v>
      </c>
      <c r="D4" s="1" t="s">
        <v>859</v>
      </c>
      <c r="E4" s="1" t="s">
        <v>862</v>
      </c>
      <c r="F4" s="1"/>
    </row>
    <row r="5" spans="1:6" ht="16.5" x14ac:dyDescent="0.2">
      <c r="A5" s="3"/>
      <c r="B5" s="1" t="s">
        <v>863</v>
      </c>
      <c r="C5" s="1">
        <v>100001</v>
      </c>
      <c r="D5" s="1" t="s">
        <v>864</v>
      </c>
      <c r="E5" s="1" t="s">
        <v>865</v>
      </c>
      <c r="F5" s="1"/>
    </row>
    <row r="6" spans="1:6" ht="16.5" x14ac:dyDescent="0.2">
      <c r="A6" s="3"/>
      <c r="B6" s="1" t="s">
        <v>866</v>
      </c>
      <c r="C6" s="1">
        <v>100004</v>
      </c>
      <c r="D6" s="1" t="s">
        <v>864</v>
      </c>
      <c r="E6" s="1" t="s">
        <v>866</v>
      </c>
      <c r="F6" s="1"/>
    </row>
    <row r="7" spans="1:6" ht="16.5" x14ac:dyDescent="0.2">
      <c r="A7" s="3"/>
      <c r="B7" s="1" t="s">
        <v>867</v>
      </c>
      <c r="C7" s="1">
        <v>100002</v>
      </c>
      <c r="D7" s="1" t="s">
        <v>864</v>
      </c>
      <c r="E7" s="1" t="s">
        <v>868</v>
      </c>
      <c r="F7" s="1"/>
    </row>
    <row r="8" spans="1:6" ht="16.5" x14ac:dyDescent="0.2">
      <c r="A8" s="3" t="s">
        <v>869</v>
      </c>
      <c r="B8" s="1" t="s">
        <v>858</v>
      </c>
      <c r="C8" s="1">
        <v>100003</v>
      </c>
      <c r="D8" s="1" t="s">
        <v>859</v>
      </c>
      <c r="E8" s="1" t="s">
        <v>858</v>
      </c>
      <c r="F8" s="1"/>
    </row>
    <row r="9" spans="1:6" ht="16.5" x14ac:dyDescent="0.2">
      <c r="A9" s="3"/>
      <c r="B9" s="1" t="s">
        <v>870</v>
      </c>
      <c r="C9" s="1">
        <v>100007</v>
      </c>
      <c r="D9" s="1" t="s">
        <v>859</v>
      </c>
      <c r="E9" s="1" t="s">
        <v>861</v>
      </c>
      <c r="F9" s="1"/>
    </row>
    <row r="10" spans="1:6" ht="16.5" x14ac:dyDescent="0.2">
      <c r="A10" s="3"/>
      <c r="B10" s="1" t="s">
        <v>862</v>
      </c>
      <c r="C10" s="1">
        <v>100006</v>
      </c>
      <c r="D10" s="1" t="s">
        <v>859</v>
      </c>
      <c r="E10" s="1" t="s">
        <v>862</v>
      </c>
      <c r="F10" s="1"/>
    </row>
    <row r="11" spans="1:6" ht="16.5" x14ac:dyDescent="0.2">
      <c r="A11" s="3"/>
      <c r="B11" s="1" t="s">
        <v>863</v>
      </c>
      <c r="C11" s="1">
        <v>100001</v>
      </c>
      <c r="D11" s="1" t="s">
        <v>864</v>
      </c>
      <c r="E11" s="1" t="s">
        <v>865</v>
      </c>
      <c r="F11" s="1"/>
    </row>
    <row r="12" spans="1:6" ht="16.5" x14ac:dyDescent="0.2">
      <c r="A12" s="3"/>
      <c r="B12" s="1" t="s">
        <v>866</v>
      </c>
      <c r="C12" s="1">
        <v>100004</v>
      </c>
      <c r="D12" s="1" t="s">
        <v>864</v>
      </c>
      <c r="E12" s="1" t="s">
        <v>866</v>
      </c>
      <c r="F12" s="1"/>
    </row>
    <row r="13" spans="1:6" ht="16.5" x14ac:dyDescent="0.2">
      <c r="A13" s="3"/>
      <c r="B13" s="1" t="s">
        <v>867</v>
      </c>
      <c r="C13" s="1">
        <v>100002</v>
      </c>
      <c r="D13" s="1" t="s">
        <v>864</v>
      </c>
      <c r="E13" s="1" t="s">
        <v>868</v>
      </c>
      <c r="F13" s="1"/>
    </row>
    <row r="14" spans="1:6" ht="16.5" x14ac:dyDescent="0.2">
      <c r="A14" s="1" t="s">
        <v>871</v>
      </c>
      <c r="B14" s="1" t="s">
        <v>872</v>
      </c>
      <c r="C14" s="1">
        <v>100008</v>
      </c>
      <c r="D14" s="1" t="s">
        <v>864</v>
      </c>
      <c r="E14" s="1" t="s">
        <v>873</v>
      </c>
      <c r="F14" s="1"/>
    </row>
    <row r="15" spans="1:6" ht="16.5" x14ac:dyDescent="0.2">
      <c r="A15" s="1" t="s">
        <v>874</v>
      </c>
      <c r="B15" s="1" t="s">
        <v>875</v>
      </c>
      <c r="C15" s="1">
        <v>100009</v>
      </c>
      <c r="D15" s="1" t="s">
        <v>859</v>
      </c>
      <c r="E15" s="1" t="s">
        <v>876</v>
      </c>
      <c r="F15" s="1" t="s">
        <v>877</v>
      </c>
    </row>
    <row r="16" spans="1:6" ht="16.5" x14ac:dyDescent="0.2">
      <c r="A16" s="1" t="s">
        <v>878</v>
      </c>
      <c r="B16" s="1" t="s">
        <v>879</v>
      </c>
      <c r="C16" s="1">
        <v>100010</v>
      </c>
      <c r="D16" s="1" t="s">
        <v>859</v>
      </c>
      <c r="E16" s="1" t="s">
        <v>880</v>
      </c>
      <c r="F16" s="1" t="s">
        <v>881</v>
      </c>
    </row>
    <row r="17" spans="1:6" ht="16.5" x14ac:dyDescent="0.2">
      <c r="A17" s="1" t="s">
        <v>882</v>
      </c>
      <c r="B17" s="1" t="s">
        <v>883</v>
      </c>
      <c r="C17" s="1">
        <v>100011</v>
      </c>
      <c r="D17" s="1" t="s">
        <v>864</v>
      </c>
      <c r="E17" s="1" t="s">
        <v>883</v>
      </c>
      <c r="F17" s="1"/>
    </row>
    <row r="18" spans="1:6" ht="16.5" x14ac:dyDescent="0.2">
      <c r="A18" s="1" t="s">
        <v>884</v>
      </c>
      <c r="B18" s="1" t="s">
        <v>885</v>
      </c>
      <c r="C18" s="1">
        <v>100012</v>
      </c>
      <c r="D18" s="1" t="s">
        <v>859</v>
      </c>
      <c r="E18" s="1" t="s">
        <v>886</v>
      </c>
      <c r="F18" s="1" t="s">
        <v>887</v>
      </c>
    </row>
    <row r="19" spans="1:6" ht="16.5" x14ac:dyDescent="0.2">
      <c r="A19" s="1" t="s">
        <v>888</v>
      </c>
      <c r="B19" s="1" t="s">
        <v>889</v>
      </c>
      <c r="C19" s="1">
        <v>100033</v>
      </c>
      <c r="D19" s="1" t="s">
        <v>859</v>
      </c>
      <c r="E19" s="1" t="s">
        <v>886</v>
      </c>
      <c r="F19" s="1" t="s">
        <v>890</v>
      </c>
    </row>
    <row r="20" spans="1:6" ht="16.5" x14ac:dyDescent="0.2">
      <c r="A20" s="3" t="s">
        <v>891</v>
      </c>
      <c r="B20" s="1" t="s">
        <v>892</v>
      </c>
      <c r="C20" s="1">
        <v>100013</v>
      </c>
      <c r="D20" s="1" t="s">
        <v>864</v>
      </c>
      <c r="E20" s="1" t="s">
        <v>892</v>
      </c>
      <c r="F20" s="1" t="s">
        <v>893</v>
      </c>
    </row>
    <row r="21" spans="1:6" ht="16.5" x14ac:dyDescent="0.2">
      <c r="A21" s="3"/>
      <c r="B21" s="1" t="s">
        <v>894</v>
      </c>
      <c r="C21" s="1">
        <v>100014</v>
      </c>
      <c r="D21" s="1" t="s">
        <v>864</v>
      </c>
      <c r="E21" s="1" t="s">
        <v>894</v>
      </c>
      <c r="F21" s="1" t="s">
        <v>893</v>
      </c>
    </row>
    <row r="22" spans="1:6" ht="16.5" x14ac:dyDescent="0.2">
      <c r="A22" s="3"/>
      <c r="B22" s="1" t="s">
        <v>895</v>
      </c>
      <c r="C22" s="1">
        <v>100015</v>
      </c>
      <c r="D22" s="1" t="s">
        <v>864</v>
      </c>
      <c r="E22" s="1" t="s">
        <v>895</v>
      </c>
      <c r="F22" s="1" t="s">
        <v>893</v>
      </c>
    </row>
    <row r="23" spans="1:6" ht="16.5" x14ac:dyDescent="0.2">
      <c r="A23" s="3" t="s">
        <v>896</v>
      </c>
      <c r="B23" s="1" t="s">
        <v>897</v>
      </c>
      <c r="C23" s="1">
        <v>100016</v>
      </c>
      <c r="D23" s="1" t="s">
        <v>864</v>
      </c>
      <c r="E23" s="1" t="s">
        <v>897</v>
      </c>
      <c r="F23" s="1" t="s">
        <v>898</v>
      </c>
    </row>
    <row r="24" spans="1:6" ht="16.5" x14ac:dyDescent="0.2">
      <c r="A24" s="3"/>
      <c r="B24" s="1" t="s">
        <v>899</v>
      </c>
      <c r="C24" s="1">
        <v>100017</v>
      </c>
      <c r="D24" s="1" t="s">
        <v>864</v>
      </c>
      <c r="E24" s="1" t="s">
        <v>899</v>
      </c>
      <c r="F24" s="1" t="s">
        <v>898</v>
      </c>
    </row>
    <row r="25" spans="1:6" ht="16.5" x14ac:dyDescent="0.2">
      <c r="A25" s="3"/>
      <c r="B25" s="1" t="s">
        <v>900</v>
      </c>
      <c r="C25" s="1">
        <v>100018</v>
      </c>
      <c r="D25" s="1" t="s">
        <v>864</v>
      </c>
      <c r="E25" s="1" t="s">
        <v>900</v>
      </c>
      <c r="F25" s="1" t="s">
        <v>898</v>
      </c>
    </row>
    <row r="26" spans="1:6" ht="16.5" x14ac:dyDescent="0.2">
      <c r="A26" s="3"/>
      <c r="B26" s="1" t="s">
        <v>901</v>
      </c>
      <c r="C26" s="1">
        <v>100019</v>
      </c>
      <c r="D26" s="1" t="s">
        <v>864</v>
      </c>
      <c r="E26" s="1" t="s">
        <v>901</v>
      </c>
      <c r="F26" s="1" t="s">
        <v>898</v>
      </c>
    </row>
    <row r="27" spans="1:6" ht="16.5" x14ac:dyDescent="0.2">
      <c r="A27" s="3"/>
      <c r="B27" s="1" t="s">
        <v>902</v>
      </c>
      <c r="C27" s="1">
        <v>100020</v>
      </c>
      <c r="D27" s="1" t="s">
        <v>864</v>
      </c>
      <c r="E27" s="1" t="s">
        <v>902</v>
      </c>
      <c r="F27" s="1" t="s">
        <v>898</v>
      </c>
    </row>
    <row r="28" spans="1:6" ht="16.5" x14ac:dyDescent="0.2">
      <c r="A28" s="3" t="s">
        <v>903</v>
      </c>
      <c r="B28" s="1" t="s">
        <v>904</v>
      </c>
      <c r="C28" s="1">
        <v>100025</v>
      </c>
      <c r="D28" s="1" t="s">
        <v>864</v>
      </c>
      <c r="E28" s="1" t="s">
        <v>904</v>
      </c>
      <c r="F28" s="1" t="s">
        <v>898</v>
      </c>
    </row>
    <row r="29" spans="1:6" ht="16.5" x14ac:dyDescent="0.2">
      <c r="A29" s="3"/>
      <c r="B29" s="1" t="s">
        <v>905</v>
      </c>
      <c r="C29" s="1">
        <v>100026</v>
      </c>
      <c r="D29" s="1" t="s">
        <v>864</v>
      </c>
      <c r="E29" s="1" t="s">
        <v>905</v>
      </c>
      <c r="F29" s="1" t="s">
        <v>898</v>
      </c>
    </row>
    <row r="30" spans="1:6" ht="16.5" x14ac:dyDescent="0.2">
      <c r="A30" s="3"/>
      <c r="B30" s="1" t="s">
        <v>906</v>
      </c>
      <c r="C30" s="1">
        <v>100027</v>
      </c>
      <c r="D30" s="1" t="s">
        <v>864</v>
      </c>
      <c r="E30" s="1" t="s">
        <v>906</v>
      </c>
      <c r="F30" s="1" t="s">
        <v>898</v>
      </c>
    </row>
    <row r="31" spans="1:6" ht="16.5" x14ac:dyDescent="0.2">
      <c r="A31" s="3"/>
      <c r="B31" s="1" t="s">
        <v>907</v>
      </c>
      <c r="C31" s="1">
        <v>100028</v>
      </c>
      <c r="D31" s="1" t="s">
        <v>864</v>
      </c>
      <c r="E31" s="1" t="s">
        <v>907</v>
      </c>
      <c r="F31" s="1" t="s">
        <v>898</v>
      </c>
    </row>
    <row r="32" spans="1:6" ht="16.5" x14ac:dyDescent="0.2">
      <c r="A32" s="3"/>
      <c r="B32" s="1" t="s">
        <v>908</v>
      </c>
      <c r="C32" s="1">
        <v>100029</v>
      </c>
      <c r="D32" s="1" t="s">
        <v>864</v>
      </c>
      <c r="E32" s="1" t="s">
        <v>908</v>
      </c>
      <c r="F32" s="1" t="s">
        <v>898</v>
      </c>
    </row>
    <row r="33" spans="1:6" ht="16.5" x14ac:dyDescent="0.2">
      <c r="A33" s="3"/>
      <c r="B33" s="1" t="s">
        <v>909</v>
      </c>
      <c r="C33" s="1">
        <v>100030</v>
      </c>
      <c r="D33" s="1" t="s">
        <v>864</v>
      </c>
      <c r="E33" s="1" t="s">
        <v>909</v>
      </c>
      <c r="F33" s="1" t="s">
        <v>898</v>
      </c>
    </row>
    <row r="34" spans="1:6" ht="16.5" x14ac:dyDescent="0.2">
      <c r="A34" s="3"/>
      <c r="B34" s="1" t="s">
        <v>910</v>
      </c>
      <c r="C34" s="1">
        <v>100031</v>
      </c>
      <c r="D34" s="1" t="s">
        <v>864</v>
      </c>
      <c r="E34" s="1" t="s">
        <v>910</v>
      </c>
      <c r="F34" s="1" t="s">
        <v>898</v>
      </c>
    </row>
    <row r="35" spans="1:6" ht="16.5" x14ac:dyDescent="0.2">
      <c r="A35" s="3"/>
      <c r="B35" s="1" t="s">
        <v>911</v>
      </c>
      <c r="C35" s="1">
        <v>100032</v>
      </c>
      <c r="D35" s="1" t="s">
        <v>864</v>
      </c>
      <c r="E35" s="1" t="s">
        <v>911</v>
      </c>
      <c r="F35" s="1" t="s">
        <v>898</v>
      </c>
    </row>
    <row r="36" spans="1:6" ht="16.5" x14ac:dyDescent="0.2">
      <c r="A36" s="1" t="s">
        <v>912</v>
      </c>
      <c r="B36" s="1" t="s">
        <v>913</v>
      </c>
      <c r="C36" s="1">
        <v>100022</v>
      </c>
      <c r="D36" s="1" t="s">
        <v>864</v>
      </c>
      <c r="E36" s="1" t="s">
        <v>913</v>
      </c>
      <c r="F36" s="1" t="s">
        <v>893</v>
      </c>
    </row>
    <row r="37" spans="1:6" ht="16.5" x14ac:dyDescent="0.2">
      <c r="A37" s="1" t="s">
        <v>914</v>
      </c>
      <c r="B37" s="1" t="s">
        <v>915</v>
      </c>
      <c r="C37" s="1">
        <v>100021</v>
      </c>
      <c r="D37" s="1" t="s">
        <v>859</v>
      </c>
      <c r="E37" s="1" t="s">
        <v>915</v>
      </c>
      <c r="F37" s="1"/>
    </row>
    <row r="38" spans="1:6" ht="16.5" x14ac:dyDescent="0.2">
      <c r="A38" s="1" t="s">
        <v>916</v>
      </c>
      <c r="B38" s="1" t="s">
        <v>917</v>
      </c>
      <c r="C38" s="1">
        <v>100023</v>
      </c>
      <c r="D38" s="1" t="s">
        <v>859</v>
      </c>
      <c r="E38" s="1" t="s">
        <v>918</v>
      </c>
      <c r="F38" s="1" t="s">
        <v>919</v>
      </c>
    </row>
    <row r="39" spans="1:6" ht="16.5" x14ac:dyDescent="0.2">
      <c r="A39" s="1" t="s">
        <v>920</v>
      </c>
      <c r="B39" s="1" t="s">
        <v>921</v>
      </c>
      <c r="C39" s="1">
        <v>100024</v>
      </c>
      <c r="D39" s="1" t="s">
        <v>859</v>
      </c>
      <c r="E39" s="1" t="s">
        <v>921</v>
      </c>
      <c r="F39" s="1"/>
    </row>
    <row r="40" spans="1:6" ht="16.5" x14ac:dyDescent="0.2">
      <c r="A40" s="1" t="s">
        <v>922</v>
      </c>
      <c r="B40" s="1" t="s">
        <v>923</v>
      </c>
      <c r="C40" s="1">
        <v>100035</v>
      </c>
      <c r="D40" s="1" t="s">
        <v>864</v>
      </c>
      <c r="E40" s="1" t="s">
        <v>923</v>
      </c>
      <c r="F40" s="1"/>
    </row>
    <row r="41" spans="1:6" ht="16.5" x14ac:dyDescent="0.2">
      <c r="A41" s="1" t="s">
        <v>924</v>
      </c>
      <c r="B41" s="1" t="s">
        <v>925</v>
      </c>
      <c r="C41" s="1">
        <v>100034</v>
      </c>
      <c r="D41" s="1" t="s">
        <v>864</v>
      </c>
      <c r="E41" s="1" t="s">
        <v>925</v>
      </c>
      <c r="F41" s="1"/>
    </row>
    <row r="42" spans="1:6" ht="16.5" x14ac:dyDescent="0.2">
      <c r="A42" s="1" t="s">
        <v>926</v>
      </c>
      <c r="B42" s="1" t="s">
        <v>927</v>
      </c>
      <c r="C42" s="1"/>
      <c r="D42" s="1" t="s">
        <v>864</v>
      </c>
      <c r="E42" s="1" t="s">
        <v>928</v>
      </c>
      <c r="F42" s="1" t="s">
        <v>929</v>
      </c>
    </row>
  </sheetData>
  <mergeCells count="5">
    <mergeCell ref="A2:A7"/>
    <mergeCell ref="A8:A13"/>
    <mergeCell ref="A20:A22"/>
    <mergeCell ref="A23:A27"/>
    <mergeCell ref="A28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2019-02-01T06:10:19Z</dcterms:modified>
</cp:coreProperties>
</file>